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ichael Le\Desktop\"/>
    </mc:Choice>
  </mc:AlternateContent>
  <xr:revisionPtr revIDLastSave="0" documentId="13_ncr:1_{C09175EB-08A9-49CF-A165-4BA29A43BBAA}" xr6:coauthVersionLast="47" xr6:coauthVersionMax="47" xr10:uidLastSave="{00000000-0000-0000-0000-000000000000}"/>
  <bookViews>
    <workbookView xWindow="-120" yWindow="-120" windowWidth="29040" windowHeight="15720" tabRatio="500" firstSheet="11" activeTab="16" xr2:uid="{00000000-000D-0000-FFFF-FFFF00000000}"/>
  </bookViews>
  <sheets>
    <sheet name="START HERE" sheetId="1" r:id="rId1"/>
    <sheet name="Sales Data" sheetId="2" r:id="rId2"/>
    <sheet name="Sheet1" sheetId="11" r:id="rId3"/>
    <sheet name="SUM Functions" sheetId="3" r:id="rId4"/>
    <sheet name="COUNT Functions" sheetId="4" r:id="rId5"/>
    <sheet name="AVERAGE MIN MAX" sheetId="5" r:id="rId6"/>
    <sheet name="IF Functions" sheetId="6" r:id="rId7"/>
    <sheet name="Campaign_Data" sheetId="13" r:id="rId8"/>
    <sheet name="VLOOKUP XLOOKUP" sheetId="7" r:id="rId9"/>
    <sheet name="Sheet2" sheetId="12" r:id="rId10"/>
    <sheet name="TEXT Functions" sheetId="8" r:id="rId11"/>
    <sheet name="Sheet3" sheetId="14" r:id="rId12"/>
    <sheet name="Sheet4" sheetId="15" r:id="rId13"/>
    <sheet name="Sheet5" sheetId="16" r:id="rId14"/>
    <sheet name="Sheet6" sheetId="17" r:id="rId15"/>
    <sheet name="Pivot Tables" sheetId="9" r:id="rId16"/>
    <sheet name="Charts" sheetId="10" r:id="rId17"/>
  </sheets>
  <definedNames>
    <definedName name="_xlnm._FilterDatabase" localSheetId="1" hidden="1">'Sales Data'!$A$3:$Q$105</definedName>
    <definedName name="_xlnm._FilterDatabase" localSheetId="2" hidden="1">Sheet1!$A$1:$B$18</definedName>
    <definedName name="_xlnm._FilterDatabase" localSheetId="0" hidden="1">'START HERE'!$C$24:$G$33</definedName>
    <definedName name="_xlchart.v1.0" hidden="1">Charts!$A$43:$A$46</definedName>
    <definedName name="_xlchart.v1.1" hidden="1">Charts!$B$42</definedName>
    <definedName name="_xlchart.v1.2" hidden="1">Charts!$B$43:$B$46</definedName>
    <definedName name="_xlcn.WorksheetConnection_Excel_Tutorial_90min.xlsxTable21" hidden="1">Table2[]</definedName>
    <definedName name="ExternalData_1" localSheetId="7" hidden="1">'Campaign_Data'!$A$1:$P$25</definedName>
    <definedName name="ExternalData_1" localSheetId="11" hidden="1">Sheet3!$A$3:$Q$25</definedName>
    <definedName name="ExternalData_1" localSheetId="12" hidden="1">Sheet4!$A$3:$S$32</definedName>
    <definedName name="ExternalData_1" localSheetId="13" hidden="1">Sheet5!$A$3:$S$32</definedName>
    <definedName name="ExternalData_1" localSheetId="14" hidden="1">Sheet6!$A$3:$S$32</definedName>
    <definedName name="Slicer_Status">#N/A</definedName>
  </definedNames>
  <calcPr calcId="191029"/>
  <pivotCaches>
    <pivotCache cacheId="0" r:id="rId18"/>
    <pivotCache cacheId="136" r:id="rId19"/>
    <pivotCache cacheId="139" r:id="rId20"/>
    <pivotCache cacheId="154" r:id="rId21"/>
    <pivotCache cacheId="160"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Excel_Tutorial_90min.xlsx!Table2"/>
        </x15:modelTables>
        <x15:extLst>
          <ext xmlns:x16="http://schemas.microsoft.com/office/spreadsheetml/2014/11/main" uri="{9835A34E-60A6-4A7C-AAB8-D5F71C897F49}">
            <x16:modelTimeGroupings>
              <x16:modelTimeGrouping tableName="Table2"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7" i="8" l="1"/>
  <c r="E46" i="8"/>
  <c r="E21" i="8"/>
  <c r="E22" i="8"/>
  <c r="E23" i="8"/>
  <c r="E24" i="8"/>
  <c r="E20" i="8"/>
  <c r="E45" i="8"/>
  <c r="D38" i="8"/>
  <c r="G38" i="8" s="1"/>
  <c r="E52" i="7"/>
  <c r="E51" i="7"/>
  <c r="E50" i="7"/>
  <c r="D35" i="7"/>
  <c r="D34" i="7"/>
  <c r="D33" i="7"/>
  <c r="L2" i="6" a="1"/>
  <c r="L2" i="6" s="1"/>
  <c r="L3" i="6" a="1"/>
  <c r="L3" i="6" s="1"/>
  <c r="L4" i="6" a="1"/>
  <c r="L4" i="6" s="1"/>
  <c r="L5" i="6" a="1"/>
  <c r="L5" i="6" s="1"/>
  <c r="L6" i="6" a="1"/>
  <c r="L6" i="6" s="1"/>
  <c r="L7" i="6" a="1"/>
  <c r="L7" i="6" s="1"/>
  <c r="L8" i="6" a="1"/>
  <c r="L8" i="6"/>
  <c r="L9" i="6" a="1"/>
  <c r="L9" i="6" s="1"/>
  <c r="L10" i="6" a="1"/>
  <c r="L10" i="6"/>
  <c r="L11" i="6" a="1"/>
  <c r="L11" i="6" s="1"/>
  <c r="L12" i="6" a="1"/>
  <c r="L12" i="6" s="1"/>
  <c r="L13" i="6" a="1"/>
  <c r="L13" i="6" s="1"/>
  <c r="L14" i="6" a="1"/>
  <c r="L14" i="6" s="1"/>
  <c r="L15" i="6" a="1"/>
  <c r="L15" i="6" s="1"/>
  <c r="L16" i="6" a="1"/>
  <c r="L16" i="6"/>
  <c r="L17" i="6" a="1"/>
  <c r="L17" i="6" s="1"/>
  <c r="L18" i="6" a="1"/>
  <c r="L18" i="6"/>
  <c r="L19" i="6" a="1"/>
  <c r="L19" i="6" s="1"/>
  <c r="L20" i="6" a="1"/>
  <c r="L20" i="6" s="1"/>
  <c r="L21" i="6" a="1"/>
  <c r="L21" i="6" s="1"/>
  <c r="L22" i="6" a="1"/>
  <c r="L22" i="6" s="1"/>
  <c r="L23" i="6" a="1"/>
  <c r="L23" i="6" s="1"/>
  <c r="L24" i="6" a="1"/>
  <c r="L24" i="6"/>
  <c r="L25" i="6" a="1"/>
  <c r="L25" i="6" s="1"/>
  <c r="L26" i="6" a="1"/>
  <c r="L26" i="6"/>
  <c r="L27" i="6" a="1"/>
  <c r="L27" i="6" s="1"/>
  <c r="L28" i="6" a="1"/>
  <c r="L28" i="6" s="1"/>
  <c r="L29" i="6" a="1"/>
  <c r="L29" i="6" s="1"/>
  <c r="L30" i="6" a="1"/>
  <c r="L30" i="6" s="1"/>
  <c r="L31" i="6" a="1"/>
  <c r="L31" i="6" s="1"/>
  <c r="L32" i="6" a="1"/>
  <c r="L32" i="6"/>
  <c r="L33" i="6" a="1"/>
  <c r="L33" i="6" s="1"/>
  <c r="L34" i="6" a="1"/>
  <c r="L34" i="6"/>
  <c r="L35" i="6" a="1"/>
  <c r="L35" i="6" s="1"/>
  <c r="L36" i="6" a="1"/>
  <c r="L36" i="6" s="1"/>
  <c r="L37" i="6" a="1"/>
  <c r="L37" i="6" s="1"/>
  <c r="L38" i="6" a="1"/>
  <c r="L38" i="6" s="1"/>
  <c r="L39" i="6" a="1"/>
  <c r="L39" i="6" s="1"/>
  <c r="L40" i="6" a="1"/>
  <c r="L40" i="6"/>
  <c r="L41" i="6" a="1"/>
  <c r="L41" i="6" s="1"/>
  <c r="L42" i="6" a="1"/>
  <c r="L42" i="6"/>
  <c r="L43" i="6" a="1"/>
  <c r="L43" i="6" s="1"/>
  <c r="L44" i="6" a="1"/>
  <c r="L44" i="6" s="1"/>
  <c r="L45" i="6" a="1"/>
  <c r="L45" i="6" s="1"/>
  <c r="L46" i="6" a="1"/>
  <c r="L46" i="6" s="1"/>
  <c r="L47" i="6" a="1"/>
  <c r="L47" i="6" s="1"/>
  <c r="L48" i="6" a="1"/>
  <c r="L48" i="6"/>
  <c r="L49" i="6" a="1"/>
  <c r="L49" i="6" s="1"/>
  <c r="L50" i="6" a="1"/>
  <c r="L50" i="6"/>
  <c r="L51" i="6" a="1"/>
  <c r="L51" i="6" s="1"/>
  <c r="L52" i="6" a="1"/>
  <c r="L52" i="6" s="1"/>
  <c r="L53" i="6" a="1"/>
  <c r="L53" i="6" s="1"/>
  <c r="L54" i="6" a="1"/>
  <c r="L54" i="6" s="1"/>
  <c r="L55" i="6" a="1"/>
  <c r="L55" i="6" s="1"/>
  <c r="L56" i="6" a="1"/>
  <c r="L56" i="6"/>
  <c r="L57" i="6" a="1"/>
  <c r="L57" i="6" s="1"/>
  <c r="L58" i="6" a="1"/>
  <c r="L58" i="6"/>
  <c r="L59" i="6" a="1"/>
  <c r="L59" i="6" s="1"/>
  <c r="L60" i="6" a="1"/>
  <c r="L60" i="6" s="1"/>
  <c r="L61" i="6" a="1"/>
  <c r="L61" i="6" s="1"/>
  <c r="L62" i="6" a="1"/>
  <c r="L62" i="6" s="1"/>
  <c r="L63" i="6" a="1"/>
  <c r="L63" i="6" s="1"/>
  <c r="L64" i="6" a="1"/>
  <c r="L64" i="6"/>
  <c r="L65" i="6" a="1"/>
  <c r="L65" i="6" s="1"/>
  <c r="L66" i="6" a="1"/>
  <c r="L66" i="6"/>
  <c r="L67" i="6" a="1"/>
  <c r="L67" i="6" s="1"/>
  <c r="L68" i="6" a="1"/>
  <c r="L68" i="6" s="1"/>
  <c r="L69" i="6" a="1"/>
  <c r="L69" i="6" s="1"/>
  <c r="L70" i="6" a="1"/>
  <c r="L70" i="6" s="1"/>
  <c r="L71" i="6" a="1"/>
  <c r="L71" i="6" s="1"/>
  <c r="L72" i="6" a="1"/>
  <c r="L72" i="6"/>
  <c r="L73" i="6" a="1"/>
  <c r="L73" i="6" s="1"/>
  <c r="L74" i="6" a="1"/>
  <c r="L74" i="6"/>
  <c r="L75" i="6" a="1"/>
  <c r="L75" i="6" s="1"/>
  <c r="L76" i="6" a="1"/>
  <c r="L76" i="6" s="1"/>
  <c r="L77" i="6" a="1"/>
  <c r="L77" i="6" s="1"/>
  <c r="L78" i="6" a="1"/>
  <c r="L78" i="6" s="1"/>
  <c r="L79" i="6" a="1"/>
  <c r="L79" i="6" s="1"/>
  <c r="L80" i="6" a="1"/>
  <c r="L80" i="6"/>
  <c r="L81" i="6" a="1"/>
  <c r="L81" i="6" s="1"/>
  <c r="L82" i="6" a="1"/>
  <c r="L82" i="6"/>
  <c r="L83" i="6" a="1"/>
  <c r="L83" i="6" s="1"/>
  <c r="L84" i="6" a="1"/>
  <c r="L84" i="6" s="1"/>
  <c r="L85" i="6" a="1"/>
  <c r="L85" i="6" s="1"/>
  <c r="L86" i="6" a="1"/>
  <c r="L86" i="6" s="1"/>
  <c r="L87" i="6" a="1"/>
  <c r="L87" i="6" s="1"/>
  <c r="L88" i="6" a="1"/>
  <c r="L88" i="6"/>
  <c r="L89" i="6" a="1"/>
  <c r="L89" i="6" s="1"/>
  <c r="L90" i="6" a="1"/>
  <c r="L90" i="6"/>
  <c r="L91" i="6" a="1"/>
  <c r="L91" i="6" s="1"/>
  <c r="L92" i="6" a="1"/>
  <c r="L92" i="6" s="1"/>
  <c r="L93" i="6" a="1"/>
  <c r="L93" i="6" s="1"/>
  <c r="L94" i="6" a="1"/>
  <c r="L94" i="6" s="1"/>
  <c r="L95" i="6" a="1"/>
  <c r="L95" i="6" s="1"/>
  <c r="L96" i="6" a="1"/>
  <c r="L96" i="6" s="1"/>
  <c r="L97" i="6" a="1"/>
  <c r="L97" i="6" s="1"/>
  <c r="L98" i="6" a="1"/>
  <c r="L98" i="6"/>
  <c r="L99" i="6" a="1"/>
  <c r="L99" i="6" s="1"/>
  <c r="L100" i="6" a="1"/>
  <c r="L100" i="6" s="1"/>
  <c r="L101" i="6" a="1"/>
  <c r="L101" i="6" s="1"/>
  <c r="L102" i="6" a="1"/>
  <c r="L102" i="6" s="1"/>
  <c r="L103" i="6" a="1"/>
  <c r="L103" i="6" s="1"/>
  <c r="H33" i="7"/>
  <c r="G16" i="6"/>
  <c r="K3" i="6" a="1"/>
  <c r="K3" i="6" s="1"/>
  <c r="K4" i="6" a="1"/>
  <c r="K4" i="6" s="1"/>
  <c r="K5" i="6" a="1"/>
  <c r="K5" i="6" s="1"/>
  <c r="K6" i="6" a="1"/>
  <c r="K6" i="6"/>
  <c r="K7" i="6" a="1"/>
  <c r="K7" i="6" s="1"/>
  <c r="K8" i="6" a="1"/>
  <c r="K8" i="6" s="1"/>
  <c r="K9" i="6" a="1"/>
  <c r="K9" i="6" s="1"/>
  <c r="K10" i="6" a="1"/>
  <c r="K10" i="6"/>
  <c r="K11" i="6" a="1"/>
  <c r="K11" i="6" s="1"/>
  <c r="K12" i="6" a="1"/>
  <c r="K12" i="6" s="1"/>
  <c r="K13" i="6" a="1"/>
  <c r="K13" i="6"/>
  <c r="K14" i="6" a="1"/>
  <c r="K14" i="6"/>
  <c r="K15" i="6" a="1"/>
  <c r="K15" i="6"/>
  <c r="K16" i="6" a="1"/>
  <c r="K16" i="6"/>
  <c r="K17" i="6" a="1"/>
  <c r="K17" i="6"/>
  <c r="K18" i="6" a="1"/>
  <c r="K18" i="6"/>
  <c r="K19" i="6" a="1"/>
  <c r="K19" i="6" s="1"/>
  <c r="K20" i="6" a="1"/>
  <c r="K20" i="6" s="1"/>
  <c r="K21" i="6" a="1"/>
  <c r="K21" i="6"/>
  <c r="K22" i="6" a="1"/>
  <c r="K22" i="6"/>
  <c r="K23" i="6" a="1"/>
  <c r="K23" i="6"/>
  <c r="K24" i="6" a="1"/>
  <c r="K24" i="6"/>
  <c r="K25" i="6" a="1"/>
  <c r="K25" i="6"/>
  <c r="K26" i="6" a="1"/>
  <c r="K26" i="6"/>
  <c r="K27" i="6" a="1"/>
  <c r="K27" i="6" s="1"/>
  <c r="K28" i="6" a="1"/>
  <c r="K28" i="6" s="1"/>
  <c r="K29" i="6" a="1"/>
  <c r="K29" i="6"/>
  <c r="K30" i="6" a="1"/>
  <c r="K30" i="6"/>
  <c r="K31" i="6" a="1"/>
  <c r="K31" i="6"/>
  <c r="K32" i="6" a="1"/>
  <c r="K32" i="6"/>
  <c r="K33" i="6" a="1"/>
  <c r="K33" i="6"/>
  <c r="K34" i="6" a="1"/>
  <c r="K34" i="6"/>
  <c r="K35" i="6" a="1"/>
  <c r="K35" i="6" s="1"/>
  <c r="K36" i="6" a="1"/>
  <c r="K36" i="6" s="1"/>
  <c r="K37" i="6" a="1"/>
  <c r="K37" i="6"/>
  <c r="K38" i="6" a="1"/>
  <c r="K38" i="6"/>
  <c r="K39" i="6" a="1"/>
  <c r="K39" i="6"/>
  <c r="K40" i="6" a="1"/>
  <c r="K40" i="6"/>
  <c r="K41" i="6" a="1"/>
  <c r="K41" i="6"/>
  <c r="K42" i="6" a="1"/>
  <c r="K42" i="6"/>
  <c r="K43" i="6" a="1"/>
  <c r="K43" i="6" s="1"/>
  <c r="K44" i="6" a="1"/>
  <c r="K44" i="6" s="1"/>
  <c r="K45" i="6" a="1"/>
  <c r="K45" i="6" s="1"/>
  <c r="K46" i="6" a="1"/>
  <c r="K46" i="6"/>
  <c r="K47" i="6" a="1"/>
  <c r="K47" i="6"/>
  <c r="K48" i="6" a="1"/>
  <c r="K48" i="6"/>
  <c r="K49" i="6" a="1"/>
  <c r="K49" i="6"/>
  <c r="K50" i="6" a="1"/>
  <c r="K50" i="6"/>
  <c r="K51" i="6" a="1"/>
  <c r="K51" i="6" s="1"/>
  <c r="K52" i="6" a="1"/>
  <c r="K52" i="6" s="1"/>
  <c r="K53" i="6" a="1"/>
  <c r="K53" i="6"/>
  <c r="K54" i="6" a="1"/>
  <c r="K54" i="6"/>
  <c r="K55" i="6" a="1"/>
  <c r="K55" i="6"/>
  <c r="K56" i="6" a="1"/>
  <c r="K56" i="6"/>
  <c r="K57" i="6" a="1"/>
  <c r="K57" i="6"/>
  <c r="K58" i="6" a="1"/>
  <c r="K58" i="6"/>
  <c r="K59" i="6" a="1"/>
  <c r="K59" i="6" s="1"/>
  <c r="K60" i="6" a="1"/>
  <c r="K60" i="6" s="1"/>
  <c r="K61" i="6" a="1"/>
  <c r="K61" i="6"/>
  <c r="K62" i="6" a="1"/>
  <c r="K62" i="6"/>
  <c r="K63" i="6" a="1"/>
  <c r="K63" i="6"/>
  <c r="K64" i="6" a="1"/>
  <c r="K64" i="6"/>
  <c r="K65" i="6" a="1"/>
  <c r="K65" i="6"/>
  <c r="K66" i="6" a="1"/>
  <c r="K66" i="6"/>
  <c r="K67" i="6" a="1"/>
  <c r="K67" i="6" s="1"/>
  <c r="K68" i="6" a="1"/>
  <c r="K68" i="6" s="1"/>
  <c r="K69" i="6" a="1"/>
  <c r="K69" i="6" s="1"/>
  <c r="K70" i="6" a="1"/>
  <c r="K70" i="6"/>
  <c r="K71" i="6" a="1"/>
  <c r="K71" i="6"/>
  <c r="K72" i="6" a="1"/>
  <c r="K72" i="6"/>
  <c r="K73" i="6" a="1"/>
  <c r="K73" i="6"/>
  <c r="K74" i="6" a="1"/>
  <c r="K74" i="6"/>
  <c r="K75" i="6" a="1"/>
  <c r="K75" i="6" s="1"/>
  <c r="K76" i="6" a="1"/>
  <c r="K76" i="6" s="1"/>
  <c r="K77" i="6" a="1"/>
  <c r="K77" i="6" s="1"/>
  <c r="K78" i="6" a="1"/>
  <c r="K78" i="6"/>
  <c r="K79" i="6" a="1"/>
  <c r="K79" i="6"/>
  <c r="K80" i="6" a="1"/>
  <c r="K80" i="6"/>
  <c r="K81" i="6" a="1"/>
  <c r="K81" i="6"/>
  <c r="K82" i="6" a="1"/>
  <c r="K82" i="6"/>
  <c r="K83" i="6" a="1"/>
  <c r="K83" i="6" s="1"/>
  <c r="K84" i="6" a="1"/>
  <c r="K84" i="6" s="1"/>
  <c r="K85" i="6" a="1"/>
  <c r="K85" i="6" s="1"/>
  <c r="K86" i="6" a="1"/>
  <c r="K86" i="6"/>
  <c r="K87" i="6" a="1"/>
  <c r="K87" i="6"/>
  <c r="K88" i="6" a="1"/>
  <c r="K88" i="6"/>
  <c r="K89" i="6" a="1"/>
  <c r="K89" i="6"/>
  <c r="K90" i="6" a="1"/>
  <c r="K90" i="6"/>
  <c r="K91" i="6" a="1"/>
  <c r="K91" i="6" s="1"/>
  <c r="K92" i="6" a="1"/>
  <c r="K92" i="6" s="1"/>
  <c r="K93" i="6" a="1"/>
  <c r="K93" i="6" s="1"/>
  <c r="K94" i="6" a="1"/>
  <c r="K94" i="6"/>
  <c r="K95" i="6" a="1"/>
  <c r="K95" i="6"/>
  <c r="K96" i="6" a="1"/>
  <c r="K96" i="6"/>
  <c r="K97" i="6" a="1"/>
  <c r="K97" i="6"/>
  <c r="K98" i="6" a="1"/>
  <c r="K98" i="6" s="1"/>
  <c r="K99" i="6" a="1"/>
  <c r="K99" i="6" s="1"/>
  <c r="K100" i="6" a="1"/>
  <c r="K100" i="6" s="1"/>
  <c r="K101" i="6" a="1"/>
  <c r="K101" i="6" s="1"/>
  <c r="K102" i="6" a="1"/>
  <c r="K102" i="6"/>
  <c r="K103" i="6" a="1"/>
  <c r="K103" i="6"/>
  <c r="K2" i="6" a="1"/>
  <c r="K2" i="6" s="1"/>
  <c r="J2" i="6" a="1"/>
  <c r="J2" i="6" s="1"/>
  <c r="E31" i="5"/>
  <c r="E26" i="4"/>
  <c r="D16" i="4"/>
  <c r="G39" i="8"/>
  <c r="G40" i="8"/>
  <c r="F39" i="8"/>
  <c r="F40" i="8"/>
  <c r="E39" i="8"/>
  <c r="E40" i="8"/>
  <c r="I13" i="7"/>
  <c r="H13" i="7"/>
  <c r="H14" i="7"/>
  <c r="L12" i="7"/>
  <c r="K12" i="7"/>
  <c r="F13" i="7"/>
  <c r="F14" i="7"/>
  <c r="F15" i="7"/>
  <c r="F16" i="7"/>
  <c r="F17" i="7"/>
  <c r="F18" i="7"/>
  <c r="F19" i="7"/>
  <c r="F20" i="7"/>
  <c r="F21" i="7"/>
  <c r="F22" i="7"/>
  <c r="F23" i="7"/>
  <c r="F24" i="7"/>
  <c r="F25" i="7"/>
  <c r="F26" i="7"/>
  <c r="F12" i="7"/>
  <c r="I12" i="7"/>
  <c r="I17" i="6"/>
  <c r="I18" i="6"/>
  <c r="I19" i="6"/>
  <c r="I20" i="6"/>
  <c r="I21" i="6"/>
  <c r="I22" i="6"/>
  <c r="I23" i="6"/>
  <c r="I16" i="6"/>
  <c r="F16" i="6"/>
  <c r="E16" i="6"/>
  <c r="G3" i="11"/>
  <c r="G4" i="11"/>
  <c r="G5" i="11"/>
  <c r="G6" i="11"/>
  <c r="G7" i="11"/>
  <c r="G8" i="11"/>
  <c r="G9" i="11"/>
  <c r="G11" i="11"/>
  <c r="G12" i="11"/>
  <c r="G13" i="11"/>
  <c r="G14" i="11"/>
  <c r="G15" i="11"/>
  <c r="G16" i="11"/>
  <c r="G17" i="11"/>
  <c r="G2" i="11"/>
  <c r="F3" i="11"/>
  <c r="F4" i="11"/>
  <c r="F5" i="11"/>
  <c r="F6" i="11"/>
  <c r="F7" i="11"/>
  <c r="F8" i="11"/>
  <c r="F9" i="11"/>
  <c r="F11" i="11"/>
  <c r="F12" i="11"/>
  <c r="F13" i="11"/>
  <c r="F14" i="11"/>
  <c r="F15" i="11"/>
  <c r="F16" i="11"/>
  <c r="F17" i="11"/>
  <c r="F2" i="11"/>
  <c r="E18" i="11"/>
  <c r="D18" i="11"/>
  <c r="D19" i="4"/>
  <c r="D18" i="4"/>
  <c r="L78" i="2"/>
  <c r="M78" i="2" s="1"/>
  <c r="L105" i="2"/>
  <c r="M105" i="2" s="1"/>
  <c r="B46" i="10"/>
  <c r="B45" i="10"/>
  <c r="B44" i="10"/>
  <c r="B43" i="10"/>
  <c r="C28" i="10"/>
  <c r="C27" i="10"/>
  <c r="C26" i="10"/>
  <c r="C25" i="10"/>
  <c r="C24" i="10"/>
  <c r="H20" i="4"/>
  <c r="D20" i="4"/>
  <c r="H19" i="4"/>
  <c r="H18" i="4"/>
  <c r="H17" i="4"/>
  <c r="H16" i="4"/>
  <c r="J106" i="2"/>
  <c r="I106" i="2"/>
  <c r="Q106" i="2"/>
  <c r="E25" i="4" s="1"/>
  <c r="D17" i="4" s="1"/>
  <c r="G34" i="1"/>
  <c r="G33" i="8"/>
  <c r="H33" i="8"/>
  <c r="I32" i="8"/>
  <c r="H32" i="8"/>
  <c r="G32" i="8"/>
  <c r="B31" i="8"/>
  <c r="B33" i="8"/>
  <c r="B32" i="8"/>
  <c r="D36" i="7"/>
  <c r="H12" i="7"/>
  <c r="H36" i="7"/>
  <c r="H35" i="7"/>
  <c r="G23" i="6"/>
  <c r="F17" i="6"/>
  <c r="F18" i="6"/>
  <c r="F19" i="6"/>
  <c r="F20" i="6"/>
  <c r="F21" i="6"/>
  <c r="F22" i="6"/>
  <c r="F23" i="6"/>
  <c r="C40" i="8"/>
  <c r="D39" i="8"/>
  <c r="C39" i="8"/>
  <c r="C38" i="8"/>
  <c r="B30" i="8"/>
  <c r="B29" i="8"/>
  <c r="C24" i="8"/>
  <c r="B24" i="8"/>
  <c r="D24" i="8" s="1"/>
  <c r="C23" i="8"/>
  <c r="B23" i="8"/>
  <c r="D23" i="8" s="1"/>
  <c r="C22" i="8"/>
  <c r="B22" i="8"/>
  <c r="D22" i="8" s="1"/>
  <c r="C21" i="8"/>
  <c r="B21" i="8"/>
  <c r="D21" i="8" s="1"/>
  <c r="C20" i="8"/>
  <c r="B20" i="8"/>
  <c r="D20" i="8" s="1"/>
  <c r="H34" i="7"/>
  <c r="E23" i="6"/>
  <c r="G22" i="6"/>
  <c r="E22" i="6"/>
  <c r="G21" i="6"/>
  <c r="E21" i="6"/>
  <c r="G20" i="6"/>
  <c r="E20" i="6"/>
  <c r="G19" i="6"/>
  <c r="E19" i="6"/>
  <c r="G18" i="6"/>
  <c r="E18" i="6"/>
  <c r="G17" i="6"/>
  <c r="E17" i="6"/>
  <c r="L77" i="2"/>
  <c r="L53" i="2"/>
  <c r="L54" i="2"/>
  <c r="M54" i="2" s="1"/>
  <c r="N54" i="2" s="1"/>
  <c r="L6" i="2"/>
  <c r="M6" i="2" s="1"/>
  <c r="N6" i="2" s="1"/>
  <c r="L33" i="2"/>
  <c r="L52" i="2"/>
  <c r="M52" i="2" s="1"/>
  <c r="L60" i="2"/>
  <c r="L103" i="2"/>
  <c r="M103" i="2" s="1"/>
  <c r="N103" i="2" s="1"/>
  <c r="L42" i="2"/>
  <c r="L73" i="2"/>
  <c r="M73" i="2" s="1"/>
  <c r="L89" i="2"/>
  <c r="L62" i="2"/>
  <c r="L76" i="2"/>
  <c r="M76" i="2" s="1"/>
  <c r="N76" i="2" s="1"/>
  <c r="L104" i="2"/>
  <c r="M104" i="2" s="1"/>
  <c r="N104" i="2" s="1"/>
  <c r="L9" i="2"/>
  <c r="L87" i="2"/>
  <c r="L96" i="2"/>
  <c r="L25" i="2"/>
  <c r="M25" i="2" s="1"/>
  <c r="N25" i="2" s="1"/>
  <c r="L40" i="2"/>
  <c r="M40" i="2" s="1"/>
  <c r="N40" i="2" s="1"/>
  <c r="L88" i="2"/>
  <c r="L5" i="2"/>
  <c r="L21" i="2"/>
  <c r="M21" i="2" s="1"/>
  <c r="L35" i="2"/>
  <c r="L38" i="2"/>
  <c r="L71" i="2"/>
  <c r="L28" i="2"/>
  <c r="M28" i="2" s="1"/>
  <c r="L19" i="2"/>
  <c r="L95" i="2"/>
  <c r="L50" i="2"/>
  <c r="L45" i="2"/>
  <c r="M45" i="2" s="1"/>
  <c r="N45" i="2" s="1"/>
  <c r="L74" i="2"/>
  <c r="L84" i="2"/>
  <c r="L59" i="2"/>
  <c r="L22" i="2"/>
  <c r="M22" i="2" s="1"/>
  <c r="L86" i="2"/>
  <c r="M86" i="2" s="1"/>
  <c r="N86" i="2" s="1"/>
  <c r="L8" i="2"/>
  <c r="L29" i="2"/>
  <c r="L75" i="2"/>
  <c r="M75" i="2" s="1"/>
  <c r="L15" i="2"/>
  <c r="L34" i="2"/>
  <c r="L92" i="2"/>
  <c r="L37" i="2"/>
  <c r="M37" i="2" s="1"/>
  <c r="L11" i="2"/>
  <c r="L65" i="2"/>
  <c r="L17" i="2"/>
  <c r="L46" i="2"/>
  <c r="M46" i="2" s="1"/>
  <c r="N46" i="2" s="1"/>
  <c r="L94" i="2"/>
  <c r="L79" i="2"/>
  <c r="L70" i="2"/>
  <c r="L83" i="2"/>
  <c r="L32" i="2"/>
  <c r="M32" i="2" s="1"/>
  <c r="N32" i="2" s="1"/>
  <c r="L56" i="2"/>
  <c r="M56" i="2" s="1"/>
  <c r="L31" i="2"/>
  <c r="L41" i="2"/>
  <c r="L90" i="2"/>
  <c r="L43" i="2"/>
  <c r="L101" i="2"/>
  <c r="L69" i="2"/>
  <c r="M69" i="2" s="1"/>
  <c r="L51" i="2"/>
  <c r="L27" i="2"/>
  <c r="L18" i="2"/>
  <c r="M18" i="2" s="1"/>
  <c r="N18" i="2" s="1"/>
  <c r="L47" i="2"/>
  <c r="M47" i="2" s="1"/>
  <c r="N47" i="2" s="1"/>
  <c r="L44" i="2"/>
  <c r="L49" i="2"/>
  <c r="L66" i="2"/>
  <c r="L30" i="2"/>
  <c r="M30" i="2" s="1"/>
  <c r="N30" i="2" s="1"/>
  <c r="L91" i="2"/>
  <c r="M91" i="2" s="1"/>
  <c r="N91" i="2" s="1"/>
  <c r="L24" i="2"/>
  <c r="M24" i="2" s="1"/>
  <c r="L20" i="2"/>
  <c r="L72" i="2"/>
  <c r="L23" i="2"/>
  <c r="L97" i="2"/>
  <c r="L68" i="2"/>
  <c r="L63" i="2"/>
  <c r="M63" i="2" s="1"/>
  <c r="L82" i="2"/>
  <c r="L99" i="2"/>
  <c r="L12" i="2"/>
  <c r="L67" i="2"/>
  <c r="M67" i="2" s="1"/>
  <c r="N67" i="2" s="1"/>
  <c r="L93" i="2"/>
  <c r="L16" i="2"/>
  <c r="L81" i="2"/>
  <c r="L85" i="2"/>
  <c r="M85" i="2" s="1"/>
  <c r="N85" i="2" s="1"/>
  <c r="L64" i="2"/>
  <c r="M64" i="2" s="1"/>
  <c r="N64" i="2" s="1"/>
  <c r="L98" i="2"/>
  <c r="M98" i="2" s="1"/>
  <c r="L39" i="2"/>
  <c r="L100" i="2"/>
  <c r="L7" i="2"/>
  <c r="L13" i="2"/>
  <c r="L4" i="2"/>
  <c r="L10" i="2"/>
  <c r="M10" i="2" s="1"/>
  <c r="L57" i="2"/>
  <c r="L80" i="2"/>
  <c r="L55" i="2"/>
  <c r="L14" i="2"/>
  <c r="M14" i="2" s="1"/>
  <c r="L102" i="2"/>
  <c r="L48" i="2"/>
  <c r="M48" i="2" s="1"/>
  <c r="L26" i="2"/>
  <c r="L36" i="2"/>
  <c r="M36" i="2" s="1"/>
  <c r="L61" i="2"/>
  <c r="M61" i="2" s="1"/>
  <c r="N61" i="2" s="1"/>
  <c r="H2" i="11" s="1"/>
  <c r="L58" i="2"/>
  <c r="E38" i="8" l="1"/>
  <c r="G31" i="8"/>
  <c r="I31" i="8" s="1"/>
  <c r="H31" i="8"/>
  <c r="F38" i="8"/>
  <c r="I33" i="8"/>
  <c r="N78" i="2"/>
  <c r="N24" i="2"/>
  <c r="N14" i="2"/>
  <c r="M8" i="2"/>
  <c r="N8" i="2" s="1"/>
  <c r="N56" i="2"/>
  <c r="M88" i="2"/>
  <c r="N88" i="2" s="1"/>
  <c r="M58" i="2"/>
  <c r="N58" i="2" s="1"/>
  <c r="N98" i="2"/>
  <c r="M60" i="2"/>
  <c r="N60" i="2" s="1"/>
  <c r="M27" i="2"/>
  <c r="N27" i="2" s="1"/>
  <c r="M38" i="2"/>
  <c r="N38" i="2" s="1"/>
  <c r="M99" i="2"/>
  <c r="N99" i="2" s="1"/>
  <c r="N22" i="2"/>
  <c r="M12" i="2"/>
  <c r="N12" i="2" s="1"/>
  <c r="M55" i="2"/>
  <c r="N55" i="2" s="1"/>
  <c r="M96" i="2"/>
  <c r="N96" i="2" s="1"/>
  <c r="M80" i="2"/>
  <c r="N80" i="2" s="1"/>
  <c r="C5" i="11" s="1"/>
  <c r="M59" i="2"/>
  <c r="N59" i="2" s="1"/>
  <c r="M83" i="2"/>
  <c r="N83" i="2" s="1"/>
  <c r="M34" i="2"/>
  <c r="N34" i="2" s="1"/>
  <c r="M35" i="2"/>
  <c r="N35" i="2" s="1"/>
  <c r="M100" i="2"/>
  <c r="N100" i="2"/>
  <c r="M65" i="2"/>
  <c r="N65" i="2" s="1"/>
  <c r="N36" i="2"/>
  <c r="M43" i="2"/>
  <c r="N43" i="2" s="1"/>
  <c r="M70" i="2"/>
  <c r="N70" i="2" s="1"/>
  <c r="M15" i="2"/>
  <c r="N15" i="2" s="1"/>
  <c r="M97" i="2"/>
  <c r="N97" i="2" s="1"/>
  <c r="M66" i="2"/>
  <c r="N66" i="2" s="1"/>
  <c r="M13" i="2"/>
  <c r="N13" i="2" s="1"/>
  <c r="B27" i="10" s="1"/>
  <c r="M81" i="2"/>
  <c r="N81" i="2" s="1"/>
  <c r="M50" i="2"/>
  <c r="N50" i="2" s="1"/>
  <c r="M62" i="2"/>
  <c r="N62" i="2" s="1"/>
  <c r="M26" i="2"/>
  <c r="N26" i="2" s="1"/>
  <c r="M90" i="2"/>
  <c r="N90" i="2" s="1"/>
  <c r="M23" i="2"/>
  <c r="N23" i="2" s="1"/>
  <c r="M53" i="2"/>
  <c r="N53" i="2" s="1"/>
  <c r="M7" i="2"/>
  <c r="N7" i="2" s="1"/>
  <c r="M41" i="2"/>
  <c r="N41" i="2" s="1"/>
  <c r="M17" i="2"/>
  <c r="N17" i="2" s="1"/>
  <c r="D18" i="3" s="1"/>
  <c r="M95" i="2"/>
  <c r="N95" i="2" s="1"/>
  <c r="M72" i="2"/>
  <c r="N72" i="2" s="1"/>
  <c r="M77" i="2"/>
  <c r="N77" i="2" s="1"/>
  <c r="M57" i="2"/>
  <c r="N57" i="2" s="1"/>
  <c r="M82" i="2"/>
  <c r="N82" i="2" s="1"/>
  <c r="M51" i="2"/>
  <c r="N51" i="2" s="1"/>
  <c r="M11" i="2"/>
  <c r="N11" i="2" s="1"/>
  <c r="N75" i="2"/>
  <c r="M19" i="2"/>
  <c r="N19" i="2" s="1"/>
  <c r="N21" i="2"/>
  <c r="M89" i="2"/>
  <c r="N89" i="2" s="1"/>
  <c r="N52" i="2"/>
  <c r="N48" i="2"/>
  <c r="M102" i="2"/>
  <c r="N102" i="2" s="1"/>
  <c r="N10" i="2"/>
  <c r="M93" i="2"/>
  <c r="N93" i="2" s="1"/>
  <c r="N63" i="2"/>
  <c r="M44" i="2"/>
  <c r="N44" i="2" s="1"/>
  <c r="N69" i="2"/>
  <c r="M94" i="2"/>
  <c r="N94" i="2" s="1"/>
  <c r="N37" i="2"/>
  <c r="M74" i="2"/>
  <c r="N74" i="2" s="1"/>
  <c r="N28" i="2"/>
  <c r="M9" i="2"/>
  <c r="N9" i="2" s="1"/>
  <c r="N73" i="2"/>
  <c r="M16" i="2"/>
  <c r="N16" i="2" s="1"/>
  <c r="M49" i="2"/>
  <c r="N49" i="2" s="1"/>
  <c r="M79" i="2"/>
  <c r="N79" i="2" s="1"/>
  <c r="M84" i="2"/>
  <c r="N84" i="2" s="1"/>
  <c r="C2" i="11" s="1"/>
  <c r="M87" i="2"/>
  <c r="N87" i="2" s="1"/>
  <c r="M39" i="2"/>
  <c r="N39" i="2" s="1"/>
  <c r="M20" i="2"/>
  <c r="N20" i="2" s="1"/>
  <c r="M31" i="2"/>
  <c r="N31" i="2" s="1"/>
  <c r="M29" i="2"/>
  <c r="N29" i="2" s="1"/>
  <c r="M5" i="2"/>
  <c r="N5" i="2" s="1"/>
  <c r="E24" i="3" s="1"/>
  <c r="M33" i="2"/>
  <c r="N33" i="2" s="1"/>
  <c r="M4" i="2"/>
  <c r="M68" i="2"/>
  <c r="N68" i="2" s="1"/>
  <c r="C11" i="11" s="1"/>
  <c r="M101" i="2"/>
  <c r="N101" i="2" s="1"/>
  <c r="M92" i="2"/>
  <c r="N92" i="2" s="1"/>
  <c r="M71" i="2"/>
  <c r="N71" i="2" s="1"/>
  <c r="M42" i="2"/>
  <c r="N42" i="2" s="1"/>
  <c r="N4" i="2" l="1"/>
  <c r="H15" i="3" s="1"/>
  <c r="E27" i="4"/>
  <c r="E23" i="3"/>
  <c r="E29" i="5"/>
  <c r="E25" i="3"/>
  <c r="D17" i="3"/>
  <c r="H18" i="3"/>
  <c r="H17" i="3"/>
  <c r="C8" i="11"/>
  <c r="B35" i="10"/>
  <c r="H20" i="5"/>
  <c r="C6" i="11"/>
  <c r="C37" i="10"/>
  <c r="B37" i="10"/>
  <c r="C13" i="11"/>
  <c r="B25" i="10"/>
  <c r="C3" i="11"/>
  <c r="C36" i="10"/>
  <c r="B36" i="10"/>
  <c r="C4" i="11"/>
  <c r="C16" i="11"/>
  <c r="C14" i="11"/>
  <c r="C12" i="11"/>
  <c r="D20" i="5"/>
  <c r="C35" i="10"/>
  <c r="D16" i="3"/>
  <c r="B17" i="10"/>
  <c r="B43" i="9"/>
  <c r="C9" i="11"/>
  <c r="H16" i="3"/>
  <c r="C17" i="11"/>
  <c r="B44" i="9"/>
  <c r="B26" i="10"/>
  <c r="B18" i="10"/>
  <c r="C15" i="11"/>
  <c r="B24" i="10"/>
  <c r="N1" i="2"/>
  <c r="H21" i="5" l="1"/>
  <c r="H24" i="5"/>
  <c r="C7" i="11"/>
  <c r="E30" i="5"/>
  <c r="D14" i="3"/>
  <c r="D22" i="5"/>
  <c r="D23" i="5"/>
  <c r="B42" i="9"/>
  <c r="D21" i="5"/>
  <c r="D15" i="3"/>
  <c r="D24" i="5"/>
  <c r="D19" i="5"/>
  <c r="D18" i="5"/>
  <c r="C34" i="10"/>
  <c r="H23" i="5"/>
  <c r="B28" i="10"/>
  <c r="B16" i="10"/>
  <c r="H19" i="5"/>
  <c r="H18" i="5"/>
  <c r="B34" i="10"/>
  <c r="H14" i="3"/>
  <c r="H2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9B3DC6-2C29-45B0-9D23-5656FDBBAE69}" keepAlive="1" name="ModelConnection_ExternalData_1" description="Data Model" type="5" refreshedVersion="8" minRefreshableVersion="5" saveData="1">
    <dbPr connection="Data Model Connection" command="DRILLTHROUGH MAXROWS 1000 SELECT FROM [Model] WHERE (([Measures].[Sum of Final Amount ($)],[Table2].[Sales Rep].&amp;[Dan Wilson])) RETURN [$Table2].[Order ID],[$Table2].[Order Date],[$Table2].[Customer Name],[$Table2].[Email],[$Table2].[City],[$Table2].[State],[$Table2].[Product],[$Table2].[Category],[$Table2].[Unit Price ($)],[$Table2].[Quantity],[$Table2].[Discount %],[$Table2].[Total Before Discount ($)],[$Table2].[Discount Amount ($)],[$Table2].[Final Amount ($)],[$Table2].[Status],[$Table2].[Sales Rep],[$Table2].[Payment Method]" commandType="4"/>
    <extLst>
      <ext xmlns:x15="http://schemas.microsoft.com/office/spreadsheetml/2010/11/main" uri="{DE250136-89BD-433C-8126-D09CA5730AF9}">
        <x15:connection id="" model="1"/>
      </ext>
    </extLst>
  </connection>
  <connection id="2" xr16:uid="{21CF64D1-50C5-4C41-9D98-2FBD035D246C}" keepAlive="1" name="ModelConnection_ExternalData_11" description="Data Model" type="5" refreshedVersion="8" minRefreshableVersion="5" saveData="1">
    <dbPr connection="Data Model Connection" command="DRILLTHROUGH MAXROWS 1000 SELECT FROM [Model] WHERE (([Measures].[Sum of Final Amount ($)],[Table2].[Sales Rep].&amp;[Bob Smith])) RETURN [$Table2].[Order ID],[$Table2].[Order Date],[$Table2].[Customer Name],[$Table2].[Email],[$Table2].[City],[$Table2].[State],[$Table2].[Product],[$Table2].[Category],[$Table2].[Unit Price ($)],[$Table2].[Quantity],[$Table2].[Discount %],[$Table2].[Total Before Discount ($)],[$Table2].[Discount Amount ($)],[$Table2].[Final Amount ($)],[$Table2].[Status],[$Table2].[Sales Rep],[$Table2].[Payment Method],[$Table2].[Order Date (Month)],[$Table2].[Order Date (Month Index)]" commandType="4"/>
    <extLst>
      <ext xmlns:x15="http://schemas.microsoft.com/office/spreadsheetml/2010/11/main" uri="{DE250136-89BD-433C-8126-D09CA5730AF9}">
        <x15:connection id="" model="1"/>
      </ext>
    </extLst>
  </connection>
  <connection id="3" xr16:uid="{97CC3C0E-D53B-44F1-901F-2D25017675C0}" keepAlive="1" name="ModelConnection_ExternalData_12" description="Data Model" type="5" refreshedVersion="8" minRefreshableVersion="5" saveData="1">
    <dbPr connection="Data Model Connection" command="DRILLTHROUGH MAXROWS 1000 SELECT FROM [Model] WHERE (([Measures].[Sum of Final Amount ($)],[Table2].[Sales Rep].&amp;[Bob Smith])) RETURN [$Table2].[Order ID],[$Table2].[Order Date],[$Table2].[Customer Name],[$Table2].[Email],[$Table2].[City],[$Table2].[State],[$Table2].[Product],[$Table2].[Category],[$Table2].[Unit Price ($)],[$Table2].[Quantity],[$Table2].[Discount %],[$Table2].[Total Before Discount ($)],[$Table2].[Discount Amount ($)],[$Table2].[Final Amount ($)],[$Table2].[Status],[$Table2].[Sales Rep],[$Table2].[Payment Method],[$Table2].[Order Date (Month)],[$Table2].[Order Date (Month Index)]" commandType="4"/>
    <extLst>
      <ext xmlns:x15="http://schemas.microsoft.com/office/spreadsheetml/2010/11/main" uri="{DE250136-89BD-433C-8126-D09CA5730AF9}">
        <x15:connection id="" model="1"/>
      </ext>
    </extLst>
  </connection>
  <connection id="4" xr16:uid="{75E4D4DF-D6D5-4C80-AC11-5B1F487ABA04}" keepAlive="1" name="ModelConnection_ExternalData_13" description="Data Model" type="5" refreshedVersion="8" minRefreshableVersion="5" saveData="1">
    <dbPr connection="Data Model Connection" command="DRILLTHROUGH MAXROWS 1000 SELECT FROM [Model] WHERE (([Measures].[Sum of Final Amount ($)],[Table2].[Sales Rep].&amp;[Bob Smith])) RETURN [$Table2].[Order ID],[$Table2].[Order Date],[$Table2].[Customer Name],[$Table2].[Email],[$Table2].[City],[$Table2].[State],[$Table2].[Product],[$Table2].[Category],[$Table2].[Unit Price ($)],[$Table2].[Quantity],[$Table2].[Discount %],[$Table2].[Total Before Discount ($)],[$Table2].[Discount Amount ($)],[$Table2].[Final Amount ($)],[$Table2].[Status],[$Table2].[Sales Rep],[$Table2].[Payment Method],[$Table2].[Order Date (Month)],[$Table2].[Order Date (Month Index)]" commandType="4"/>
    <extLst>
      <ext xmlns:x15="http://schemas.microsoft.com/office/spreadsheetml/2010/11/main" uri="{DE250136-89BD-433C-8126-D09CA5730AF9}">
        <x15:connection id="" model="1"/>
      </ext>
    </extLst>
  </connection>
  <connection id="5" xr16:uid="{8D64650F-EDC5-4197-B402-F3FCF5E3F7D9}" keepAlive="1" name="Query - Campaign_Data" description="Connection to the 'Campaign_Data' query in the workbook." type="5" refreshedVersion="8" background="1" saveData="1">
    <dbPr connection="Provider=Microsoft.Mashup.OleDb.1;Data Source=$Workbook$;Location=Campaign_Data;Extended Properties=&quot;&quot;" command="SELECT * FROM [Campaign_Data]"/>
  </connection>
  <connection id="6" xr16:uid="{98E57C76-45F7-4699-903B-6D9FB4713D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528B25F-43E9-410A-92C0-09421DE0A8C9}" name="WorksheetConnection_Excel_Tutorial_90min.xlsx!Table2" type="102" refreshedVersion="8" minRefreshableVersion="5">
    <extLst>
      <ext xmlns:x15="http://schemas.microsoft.com/office/spreadsheetml/2010/11/main" uri="{DE250136-89BD-433C-8126-D09CA5730AF9}">
        <x15:connection id="Table2" autoDelete="1">
          <x15:rangePr sourceName="_xlcn.WorksheetConnection_Excel_Tutorial_90min.xlsxTable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<sst xmlns="http://schemas.openxmlformats.org/spreadsheetml/2006/main" count="3229" uniqueCount="634">
  <si>
    <t>Excel Mastery in 90 Minutes</t>
  </si>
  <si>
    <t>From Formulas to Pivot Tables to Charts — A Hands-On Tutorial</t>
  </si>
  <si>
    <t>⏱️ TIME</t>
  </si>
  <si>
    <t>📋 TOPIC</t>
  </si>
  <si>
    <t>📝 SHEET NAME</t>
  </si>
  <si>
    <t>0:00 - 0:05</t>
  </si>
  <si>
    <t>Welcome &amp; Dataset Walkthrough</t>
  </si>
  <si>
    <t>📊 Sales Data</t>
  </si>
  <si>
    <t>0:05 - 0:15</t>
  </si>
  <si>
    <t>SUM, SUMIF, SUMIFS</t>
  </si>
  <si>
    <t>1️⃣ SUM Functions</t>
  </si>
  <si>
    <t>0:15 - 0:25</t>
  </si>
  <si>
    <t>COUNT, COUNTIF, COUNTIFS</t>
  </si>
  <si>
    <t>2️⃣ COUNT Functions</t>
  </si>
  <si>
    <t>0:25 - 0:35</t>
  </si>
  <si>
    <t>AVERAGE, AVERAGEIF, MIN, MAX</t>
  </si>
  <si>
    <t>3️⃣ AVERAGE MIN MAX</t>
  </si>
  <si>
    <t>0:35 - 0:45</t>
  </si>
  <si>
    <t>IF, Nested IF, IFS, AND, OR</t>
  </si>
  <si>
    <t>4️⃣ IF Functions</t>
  </si>
  <si>
    <t>0:45 - 0:55</t>
  </si>
  <si>
    <t>VLOOKUP &amp; XLOOKUP</t>
  </si>
  <si>
    <t>5️⃣ VLOOKUP XLOOKUP</t>
  </si>
  <si>
    <t>0:55 - 1:05</t>
  </si>
  <si>
    <t>TEXT Functions (LEFT, RIGHT, MID, CONCAT, TRIM)</t>
  </si>
  <si>
    <t>6️⃣ TEXT Functions</t>
  </si>
  <si>
    <t>1:05 - 1:15</t>
  </si>
  <si>
    <t>Pivot Tables — Build &amp; Analyze</t>
  </si>
  <si>
    <t>7️⃣ Pivot Tables</t>
  </si>
  <si>
    <t>1:15 - 1:25</t>
  </si>
  <si>
    <t>Charts — Visualize Your Data</t>
  </si>
  <si>
    <t>8️⃣ Charts</t>
  </si>
  <si>
    <t>1:25 - 1:30</t>
  </si>
  <si>
    <t>Wrap-Up &amp; Q&amp;A</t>
  </si>
  <si>
    <t>—</t>
  </si>
  <si>
    <t>💡 Tip: Each formula sheet has → USE CASE (why you need it) → SYNTAX → LIVE DEMO → TRY IT YOURSELF section</t>
  </si>
  <si>
    <t>Order ID</t>
  </si>
  <si>
    <t>Order Date</t>
  </si>
  <si>
    <t>Customer Name</t>
  </si>
  <si>
    <t>Email</t>
  </si>
  <si>
    <t>City</t>
  </si>
  <si>
    <t>State</t>
  </si>
  <si>
    <t>Product</t>
  </si>
  <si>
    <t>Category</t>
  </si>
  <si>
    <t>Unit Price ($)</t>
  </si>
  <si>
    <t>Quantity</t>
  </si>
  <si>
    <t>Discount %</t>
  </si>
  <si>
    <t>Total Before Discount ($)</t>
  </si>
  <si>
    <t>Discount Amount ($)</t>
  </si>
  <si>
    <t>Final Amount ($)</t>
  </si>
  <si>
    <t>Status</t>
  </si>
  <si>
    <t>Sales Rep</t>
  </si>
  <si>
    <t>Payment Method</t>
  </si>
  <si>
    <t>ORD-1037</t>
  </si>
  <si>
    <t>David Kim</t>
  </si>
  <si>
    <t>david@email.com</t>
  </si>
  <si>
    <t>Brisbane</t>
  </si>
  <si>
    <t>QLD</t>
  </si>
  <si>
    <t>Whiteboard</t>
  </si>
  <si>
    <t>Office Supplies</t>
  </si>
  <si>
    <t>Shipped</t>
  </si>
  <si>
    <t>Bob Smith</t>
  </si>
  <si>
    <t>Credit Card</t>
  </si>
  <si>
    <t>ORD-1012</t>
  </si>
  <si>
    <t>Sarah Johnson</t>
  </si>
  <si>
    <t>sydney@email.com</t>
  </si>
  <si>
    <t>Sydney</t>
  </si>
  <si>
    <t>NSW</t>
  </si>
  <si>
    <t>Webcam HD</t>
  </si>
  <si>
    <t>Electronics</t>
  </si>
  <si>
    <t>Delivered</t>
  </si>
  <si>
    <t>Alice Morgan</t>
  </si>
  <si>
    <t>PayPal</t>
  </si>
  <si>
    <t>ORD-1097</t>
  </si>
  <si>
    <t>Mike Chen</t>
  </si>
  <si>
    <t>mike@email.com</t>
  </si>
  <si>
    <t>Melbourne</t>
  </si>
  <si>
    <t>VIC</t>
  </si>
  <si>
    <t>Monitor 27"</t>
  </si>
  <si>
    <t>Dan Wilson</t>
  </si>
  <si>
    <t>ORD-1055</t>
  </si>
  <si>
    <t>Lisa Wang</t>
  </si>
  <si>
    <t>lisa@email.com</t>
  </si>
  <si>
    <t>Returned</t>
  </si>
  <si>
    <t>Bank Transfer</t>
  </si>
  <si>
    <t>ORD-1019</t>
  </si>
  <si>
    <t>Ryan Nguyen</t>
  </si>
  <si>
    <t>ryan@email.com</t>
  </si>
  <si>
    <t>Adelaide</t>
  </si>
  <si>
    <t>SA</t>
  </si>
  <si>
    <t>Headphones</t>
  </si>
  <si>
    <t>ORD-1033</t>
  </si>
  <si>
    <t>Anna Garcia</t>
  </si>
  <si>
    <t>anna@email.com</t>
  </si>
  <si>
    <t>Notebook Pack</t>
  </si>
  <si>
    <t>ORD-1003</t>
  </si>
  <si>
    <t>ORD-1022</t>
  </si>
  <si>
    <t>Priya Patel</t>
  </si>
  <si>
    <t>priya@email.com</t>
  </si>
  <si>
    <t>ORD-1006</t>
  </si>
  <si>
    <t>Tom Brown</t>
  </si>
  <si>
    <t>tom@email.com</t>
  </si>
  <si>
    <t>Wireless Mouse</t>
  </si>
  <si>
    <t>ORD-1009</t>
  </si>
  <si>
    <t>Keyboard</t>
  </si>
  <si>
    <t>Carol Davis</t>
  </si>
  <si>
    <t>ORD-1068</t>
  </si>
  <si>
    <t>Sophie Martin</t>
  </si>
  <si>
    <t>sophie@email.com</t>
  </si>
  <si>
    <t>Standing Desk</t>
  </si>
  <si>
    <t>Furniture</t>
  </si>
  <si>
    <t>Processing</t>
  </si>
  <si>
    <t>ORD-1084</t>
  </si>
  <si>
    <t>Laptop</t>
  </si>
  <si>
    <t>ORD-1039</t>
  </si>
  <si>
    <t>Chris Taylor</t>
  </si>
  <si>
    <t>chris@email.com</t>
  </si>
  <si>
    <t>Perth</t>
  </si>
  <si>
    <t>WA</t>
  </si>
  <si>
    <t>ORD-1088</t>
  </si>
  <si>
    <t>ORD-1089</t>
  </si>
  <si>
    <t>Pen Set</t>
  </si>
  <si>
    <t>ORD-1047</t>
  </si>
  <si>
    <t>ORD-1027</t>
  </si>
  <si>
    <t>ORD-1090</t>
  </si>
  <si>
    <t>ORD-1020</t>
  </si>
  <si>
    <t>ORD-1050</t>
  </si>
  <si>
    <t>ORD-1062</t>
  </si>
  <si>
    <t>ORD-1086</t>
  </si>
  <si>
    <t>USB-C Hub</t>
  </si>
  <si>
    <t>ORD-1045</t>
  </si>
  <si>
    <t>ORD-1052</t>
  </si>
  <si>
    <t>Emma Wilson</t>
  </si>
  <si>
    <t>emma@email.com</t>
  </si>
  <si>
    <t>ORD-1021</t>
  </si>
  <si>
    <t>Printer Paper</t>
  </si>
  <si>
    <t>ORD-1057</t>
  </si>
  <si>
    <t>ORD-1016</t>
  </si>
  <si>
    <t>ORD-1048</t>
  </si>
  <si>
    <t>Desk Lamp</t>
  </si>
  <si>
    <t>ORD-1053</t>
  </si>
  <si>
    <t>ORD-1026</t>
  </si>
  <si>
    <t>Desk Chair</t>
  </si>
  <si>
    <t>ORD-1070</t>
  </si>
  <si>
    <t>ORD-1036</t>
  </si>
  <si>
    <t>ORD-1083</t>
  </si>
  <si>
    <t>ORD-1008</t>
  </si>
  <si>
    <t>ORD-1046</t>
  </si>
  <si>
    <t>James Lee</t>
  </si>
  <si>
    <t>james@email.com</t>
  </si>
  <si>
    <t>ORD-1098</t>
  </si>
  <si>
    <t>ORD-1067</t>
  </si>
  <si>
    <t>ORD-1054</t>
  </si>
  <si>
    <t>ORD-1094</t>
  </si>
  <si>
    <t>ORD-1014</t>
  </si>
  <si>
    <t>ORD-1099</t>
  </si>
  <si>
    <t>ORD-1075</t>
  </si>
  <si>
    <t>ORD-1041</t>
  </si>
  <si>
    <t>ORD-1018</t>
  </si>
  <si>
    <t>ORD-1043</t>
  </si>
  <si>
    <t>ORD-1087</t>
  </si>
  <si>
    <t>ORD-1030</t>
  </si>
  <si>
    <t>ORD-1056</t>
  </si>
  <si>
    <t>Bookshelf</t>
  </si>
  <si>
    <t>ORD-1092</t>
  </si>
  <si>
    <t>ORD-1051</t>
  </si>
  <si>
    <t>ORD-1060</t>
  </si>
  <si>
    <t>ORD-1032</t>
  </si>
  <si>
    <t>ORD-1004</t>
  </si>
  <si>
    <t>ORD-1069</t>
  </si>
  <si>
    <t>ORD-1035</t>
  </si>
  <si>
    <t>ORD-1015</t>
  </si>
  <si>
    <t>ORD-1034</t>
  </si>
  <si>
    <t>ORD-1078</t>
  </si>
  <si>
    <t>ORD-1058</t>
  </si>
  <si>
    <t>ORD-1025</t>
  </si>
  <si>
    <t>ORD-1031</t>
  </si>
  <si>
    <t>ORD-1080</t>
  </si>
  <si>
    <t>ORD-1071</t>
  </si>
  <si>
    <t>ORD-1096</t>
  </si>
  <si>
    <t>ORD-1077</t>
  </si>
  <si>
    <t>ORD-1042</t>
  </si>
  <si>
    <t>ORD-1074</t>
  </si>
  <si>
    <t>ORD-1065</t>
  </si>
  <si>
    <t>ORD-1038</t>
  </si>
  <si>
    <t>ORD-1007</t>
  </si>
  <si>
    <t>ORD-1024</t>
  </si>
  <si>
    <t>ORD-1028</t>
  </si>
  <si>
    <t>ORD-1061</t>
  </si>
  <si>
    <t>ORD-1100</t>
  </si>
  <si>
    <t>ORD-1091</t>
  </si>
  <si>
    <t>ORD-1093</t>
  </si>
  <si>
    <t>ORD-1063</t>
  </si>
  <si>
    <t>ORD-1017</t>
  </si>
  <si>
    <t>ORD-1029</t>
  </si>
  <si>
    <t>ORD-1081</t>
  </si>
  <si>
    <t>ORD-1064</t>
  </si>
  <si>
    <t>ORD-1095</t>
  </si>
  <si>
    <t>ORD-1013</t>
  </si>
  <si>
    <t>ORD-1072</t>
  </si>
  <si>
    <t>ORD-1085</t>
  </si>
  <si>
    <t>ORD-1001</t>
  </si>
  <si>
    <t>ORD-1010</t>
  </si>
  <si>
    <t>ORD-1082</t>
  </si>
  <si>
    <t>ORD-1040</t>
  </si>
  <si>
    <t>ORD-1066</t>
  </si>
  <si>
    <t>ORD-1002</t>
  </si>
  <si>
    <t>ORD-1049</t>
  </si>
  <si>
    <t>ORD-1076</t>
  </si>
  <si>
    <t>ORD-1011</t>
  </si>
  <si>
    <t>ORD-1044</t>
  </si>
  <si>
    <t>ORD-1005</t>
  </si>
  <si>
    <t>ORD-1059</t>
  </si>
  <si>
    <t>ORD-1023</t>
  </si>
  <si>
    <t>ORD-1079</t>
  </si>
  <si>
    <t>ORD-1073</t>
  </si>
  <si>
    <t>📌 SUM, SUMIF &amp; SUMIFS — Adding Up Numbers with Conditions</t>
  </si>
  <si>
    <t>🎯 USE CASE: "How much total revenue did we make? How much from Electronics only? How much from Electronics in NSW?"</t>
  </si>
  <si>
    <t>🔧 SYNTAX REFERENCE</t>
  </si>
  <si>
    <t>Formula</t>
  </si>
  <si>
    <t>Syntax</t>
  </si>
  <si>
    <t>What It Does</t>
  </si>
  <si>
    <t>SUM</t>
  </si>
  <si>
    <t xml:space="preserve"> =SUM(range)</t>
  </si>
  <si>
    <t>Adds all numbers in a range</t>
  </si>
  <si>
    <t>SUMIF</t>
  </si>
  <si>
    <t xml:space="preserve"> =SUMIF(range, criteria, sum_range)</t>
  </si>
  <si>
    <t>Adds numbers that meet ONE condition</t>
  </si>
  <si>
    <t>SUMIFS</t>
  </si>
  <si>
    <t xml:space="preserve"> =SUMIFS(sum_range, range1, criteria1, range2, criteria2, ...)</t>
  </si>
  <si>
    <t>Adds numbers that meet MULTIPLE conditions</t>
  </si>
  <si>
    <t>📊 LIVE DEMO — Using Sales Data</t>
  </si>
  <si>
    <t>Question</t>
  </si>
  <si>
    <t>Result</t>
  </si>
  <si>
    <t>Total revenue (all orders)?</t>
  </si>
  <si>
    <t>Total revenue from Electronics?</t>
  </si>
  <si>
    <t>Total revenue from Furniture?</t>
  </si>
  <si>
    <t>Electronics revenue in NSW?</t>
  </si>
  <si>
    <t>Revenue from Alice Morgan for Delivered orders?</t>
  </si>
  <si>
    <t>✏️ TRY IT YOURSELF</t>
  </si>
  <si>
    <t>Your Task</t>
  </si>
  <si>
    <t>Write Your Formula Here</t>
  </si>
  <si>
    <t>What is the total revenue from Office Supplies?</t>
  </si>
  <si>
    <t>What is the total revenue from Melbourne?</t>
  </si>
  <si>
    <t>What is the total revenue from VIC for Furniture?</t>
  </si>
  <si>
    <t>📌 COUNT, COUNTA, COUNTIF &amp; COUNTIFS — Counting with Precision</t>
  </si>
  <si>
    <t>🎯 USE CASE: "How many orders do we have? How many are Delivered? How many Electronics orders from Sydney?"</t>
  </si>
  <si>
    <t>COUNT</t>
  </si>
  <si>
    <t xml:space="preserve"> =COUNT(range)</t>
  </si>
  <si>
    <t>Counts cells with numbers</t>
  </si>
  <si>
    <t>COUNTA</t>
  </si>
  <si>
    <t xml:space="preserve"> =COUNTA(range)</t>
  </si>
  <si>
    <t>Counts non-empty cells (text + numbers)</t>
  </si>
  <si>
    <t>COUNTIF</t>
  </si>
  <si>
    <t xml:space="preserve"> =COUNTIF(range, criteria)</t>
  </si>
  <si>
    <t>Counts cells meeting ONE condition</t>
  </si>
  <si>
    <t>COUNTIFS</t>
  </si>
  <si>
    <t xml:space="preserve"> =COUNTIFS(range1, criteria1, range2, criteria2, ...)</t>
  </si>
  <si>
    <t>Counts cells meeting MULTIPLE conditions</t>
  </si>
  <si>
    <t>COUNTBLANK</t>
  </si>
  <si>
    <t xml:space="preserve"> =COUNTBLANK(range)</t>
  </si>
  <si>
    <t>Counts empty cells</t>
  </si>
  <si>
    <t>📊 LIVE DEMO</t>
  </si>
  <si>
    <t>How many orders total?</t>
  </si>
  <si>
    <t>How many Delivered orders?</t>
  </si>
  <si>
    <t>How many Returned orders?</t>
  </si>
  <si>
    <t>How many Electronics orders in NSW?</t>
  </si>
  <si>
    <t>Orders by Bob Smith that are Shipped?</t>
  </si>
  <si>
    <t>How many orders were paid by PayPal?</t>
  </si>
  <si>
    <t>How many Furniture orders are in VIC?</t>
  </si>
  <si>
    <t>How many orders have a discount &gt; 0?</t>
  </si>
  <si>
    <t>📌 AVERAGE, AVERAGEIF, MIN, MAX &amp; LARGE/SMALL</t>
  </si>
  <si>
    <t>🎯 USE CASE: "What is our average order value? What is the avg for Electronics? What was our biggest/smallest order?"</t>
  </si>
  <si>
    <t>AVERAGE</t>
  </si>
  <si>
    <t xml:space="preserve"> =AVERAGE(range)</t>
  </si>
  <si>
    <t>Average of all numbers</t>
  </si>
  <si>
    <t>AVERAGEIF</t>
  </si>
  <si>
    <t xml:space="preserve"> =AVERAGEIF(range, criteria, avg_range)</t>
  </si>
  <si>
    <t>Average with ONE condition</t>
  </si>
  <si>
    <t>AVERAGEIFS</t>
  </si>
  <si>
    <t xml:space="preserve"> =AVERAGEIFS(avg_range, range1, criteria1, ...)</t>
  </si>
  <si>
    <t>Average with MULTIPLE conditions</t>
  </si>
  <si>
    <t>MIN</t>
  </si>
  <si>
    <t xml:space="preserve"> =MIN(range)</t>
  </si>
  <si>
    <t>Smallest value</t>
  </si>
  <si>
    <t>MAX</t>
  </si>
  <si>
    <t xml:space="preserve"> =MAX(range)</t>
  </si>
  <si>
    <t>Largest value</t>
  </si>
  <si>
    <t>LARGE</t>
  </si>
  <si>
    <t xml:space="preserve"> =LARGE(range, k)</t>
  </si>
  <si>
    <t>k-th largest value</t>
  </si>
  <si>
    <t>SMALL</t>
  </si>
  <si>
    <t xml:space="preserve"> =SMALL(range, k)</t>
  </si>
  <si>
    <t>k-th smallest value</t>
  </si>
  <si>
    <t>Average order value?</t>
  </si>
  <si>
    <t>Average for Electronics?</t>
  </si>
  <si>
    <t>Avg for Delivered orders in Sydney?</t>
  </si>
  <si>
    <t>Largest single order?</t>
  </si>
  <si>
    <t>Smallest single order?</t>
  </si>
  <si>
    <t>2nd largest order?</t>
  </si>
  <si>
    <t>3rd smallest order?</t>
  </si>
  <si>
    <t>Average order value for Furniture?</t>
  </si>
  <si>
    <t>What is the top 3rd highest order?</t>
  </si>
  <si>
    <t>Average for Bob Smith's delivered orders?</t>
  </si>
  <si>
    <t>📌 IF, Nested IF, IFS, AND &amp; OR — Making Decisions in Excel</t>
  </si>
  <si>
    <t>🎯 USE CASE: "Label orders as High/Low value, categorize discounts, flag orders that need attention"</t>
  </si>
  <si>
    <t>IF</t>
  </si>
  <si>
    <t xml:space="preserve"> =IF(condition, true_value, false_value)</t>
  </si>
  <si>
    <t>Returns one value if TRUE, another if FALSE</t>
  </si>
  <si>
    <t>Nested IF</t>
  </si>
  <si>
    <t xml:space="preserve"> =IF(cond1, VAL1, IF(cond2, VAL2, VAL3))</t>
  </si>
  <si>
    <t>Multiple conditions checked in order</t>
  </si>
  <si>
    <t>IFS</t>
  </si>
  <si>
    <t xml:space="preserve"> =ifs(cond1, VAL1, cond2, VAL2, ...)</t>
  </si>
  <si>
    <t>Cleaner way to check multiple conditions</t>
  </si>
  <si>
    <t>AND</t>
  </si>
  <si>
    <t xml:space="preserve"> =AND(cond1, cond2, ...)</t>
  </si>
  <si>
    <t>TRUE only if ALL conditions are TRUE</t>
  </si>
  <si>
    <t>OR</t>
  </si>
  <si>
    <t xml:space="preserve"> =OR(cond1, cond2, ...)</t>
  </si>
  <si>
    <t>TRUE if ANY condition is TRUE</t>
  </si>
  <si>
    <t>📊 LIVE DEMO — Classifying Orders</t>
  </si>
  <si>
    <t>Amount ($)</t>
  </si>
  <si>
    <t>IF: High/Low?</t>
  </si>
  <si>
    <t>IFS: Tier</t>
  </si>
  <si>
    <t>Needs Follow-up?</t>
  </si>
  <si>
    <t>💡 FORMULA BREAKDOWN</t>
  </si>
  <si>
    <t>Column E: =IF(B&gt;500, "High Value", "Low Value")  →  Simple yes/no decision</t>
  </si>
  <si>
    <t>Column F: =IFS(B&gt;=2000, "Premium", B&gt;=500, "Standard", B&lt;500, "Budget")  →  Multi-tier classification</t>
  </si>
  <si>
    <t>Column G: =IF(OR(Returned, AND(Processing, Discount&gt;10%)), "Yes", "No")  →  Complex business rule</t>
  </si>
  <si>
    <t>If quantity &gt; 3, label "Bulk" else "Single"</t>
  </si>
  <si>
    <t>Create a 3-tier label: qty&gt;=4 "Large", qty&gt;=2 "Medium", else "Small"</t>
  </si>
  <si>
    <t>Flag if Returned AND amount &gt; $500</t>
  </si>
  <si>
    <t>📌 VLOOKUP &amp; XLOOKUP — Looking Up Data Like a Pro</t>
  </si>
  <si>
    <t>🎯 USE CASE: "I have a product name — give me its price. I have an Order ID — give me the customer. Pull data from a lookup table."</t>
  </si>
  <si>
    <t>VLOOKUP</t>
  </si>
  <si>
    <t xml:space="preserve"> =VLOOKUP(lookup_value, table, col_index, FALSE())</t>
  </si>
  <si>
    <t>Looks up a value &amp; returns from a specific column</t>
  </si>
  <si>
    <t>XLOOKUP</t>
  </si>
  <si>
    <t xml:space="preserve"> =xlookup(lookup, lookup_range, return_range, [not_found])</t>
  </si>
  <si>
    <t>Modern replacement — more flexible</t>
  </si>
  <si>
    <t>📋 PRODUCT LOOKUP TABLE</t>
  </si>
  <si>
    <t>Stock Level</t>
  </si>
  <si>
    <t>Reorder Point</t>
  </si>
  <si>
    <t>Search Product:</t>
  </si>
  <si>
    <t>What is the price? (VLOOKUP)</t>
  </si>
  <si>
    <t>What category? (VLOOKUP)</t>
  </si>
  <si>
    <t>Stock level? (XLOOKUP)</t>
  </si>
  <si>
    <t>Reorder point? (XLOOKUP)</t>
  </si>
  <si>
    <t>💡 Change the product name in B30 to "Monitor 27\"" or "Pen Set" and watch all results update instantly!</t>
  </si>
  <si>
    <t>⚡ VLOOKUP vs XLOOKUP — Why XLOOKUP Wins</t>
  </si>
  <si>
    <t>Feature</t>
  </si>
  <si>
    <t>Look left?</t>
  </si>
  <si>
    <t>❌ No — only looks right</t>
  </si>
  <si>
    <t>✅ Yes — any direction</t>
  </si>
  <si>
    <t>Default match</t>
  </si>
  <si>
    <t>⚠️ Approximate (must add FALSE)</t>
  </si>
  <si>
    <t>✅ Exact match by default</t>
  </si>
  <si>
    <t>Not found handling</t>
  </si>
  <si>
    <t>❌ Returns #N/A error</t>
  </si>
  <si>
    <t>✅ Custom "not found" message</t>
  </si>
  <si>
    <t>Column reference</t>
  </si>
  <si>
    <t>❌ Uses column number (fragile)</t>
  </si>
  <si>
    <t>✅ Uses column range (robust)</t>
  </si>
  <si>
    <t>Look up the price of "Webcam HD" using VLOOKUP</t>
  </si>
  <si>
    <t>Look up the stock level of "Standing Desk" using XLOOKUP</t>
  </si>
  <si>
    <t>Look up a product that doesn't exist — see the difference!</t>
  </si>
  <si>
    <t>📌 TEXT Functions — Cleaning &amp; Transforming Text Data</t>
  </si>
  <si>
    <t>🎯 USE CASE: "Extract first name from full name, clean messy data, combine fields, extract parts of IDs"</t>
  </si>
  <si>
    <t>LEFT</t>
  </si>
  <si>
    <t xml:space="preserve"> =LEFT(text, num_chars)</t>
  </si>
  <si>
    <t>Extracts characters from the start</t>
  </si>
  <si>
    <t>RIGHT</t>
  </si>
  <si>
    <t xml:space="preserve"> =RIGHT(text, num_chars)</t>
  </si>
  <si>
    <t>Extracts characters from the end</t>
  </si>
  <si>
    <t>MID</t>
  </si>
  <si>
    <t xml:space="preserve"> =MID(text, start_pos, num_chars)</t>
  </si>
  <si>
    <t>Extracts from the middle</t>
  </si>
  <si>
    <t>LEN</t>
  </si>
  <si>
    <t xml:space="preserve"> =LEN(text)</t>
  </si>
  <si>
    <t>Returns length of text</t>
  </si>
  <si>
    <t>FIND</t>
  </si>
  <si>
    <t xml:space="preserve"> =FIND(find_text, within_text)</t>
  </si>
  <si>
    <t>Finds position of text</t>
  </si>
  <si>
    <t>CONCATENATE</t>
  </si>
  <si>
    <t xml:space="preserve"> =CONCATENATE(text1, text2, ...)</t>
  </si>
  <si>
    <t>Joins text together (also use &amp;)</t>
  </si>
  <si>
    <t>TRIM</t>
  </si>
  <si>
    <t xml:space="preserve"> =TRIM(text)</t>
  </si>
  <si>
    <t>Removes extra spaces</t>
  </si>
  <si>
    <t>PROPER</t>
  </si>
  <si>
    <t xml:space="preserve"> =PROPER(text)</t>
  </si>
  <si>
    <t>Capitalizes first letter of each word</t>
  </si>
  <si>
    <t>UPPER/LOWER</t>
  </si>
  <si>
    <t xml:space="preserve"> =UPPER(text) / =LOWER(text)</t>
  </si>
  <si>
    <t>Changes case</t>
  </si>
  <si>
    <t>📊 LIVE DEMO — Real-World Text Scenarios</t>
  </si>
  <si>
    <t>Full Name</t>
  </si>
  <si>
    <t>First Name</t>
  </si>
  <si>
    <t>Last Name</t>
  </si>
  <si>
    <t>Email Generated</t>
  </si>
  <si>
    <t>🧹 DATA CLEANING DEMO</t>
  </si>
  <si>
    <t>Messy Data</t>
  </si>
  <si>
    <t>Cleaned</t>
  </si>
  <si>
    <t>Formula Used</t>
  </si>
  <si>
    <t xml:space="preserve">  john   smith  </t>
  </si>
  <si>
    <t>PROPER + TRIM</t>
  </si>
  <si>
    <t>SARAH JONES</t>
  </si>
  <si>
    <t>PROPER to fix ALL CAPS</t>
  </si>
  <si>
    <t>mike.chen</t>
  </si>
  <si>
    <t>Complex extraction</t>
  </si>
  <si>
    <t>RIGHT to get order number</t>
  </si>
  <si>
    <t>LEFT to get prefix</t>
  </si>
  <si>
    <t>🔗 COMBINING TEXT</t>
  </si>
  <si>
    <t>First</t>
  </si>
  <si>
    <t>Last</t>
  </si>
  <si>
    <t>Using &amp;</t>
  </si>
  <si>
    <t>Using CONCATENATE</t>
  </si>
  <si>
    <t>Sarah</t>
  </si>
  <si>
    <t>Johnson</t>
  </si>
  <si>
    <t>Mike</t>
  </si>
  <si>
    <t>Chen</t>
  </si>
  <si>
    <t>Emma</t>
  </si>
  <si>
    <t>Wilson</t>
  </si>
  <si>
    <t>Extract the order number (last 4 digits) from "ORD-1088"</t>
  </si>
  <si>
    <t>Combine city and state: "Sydney" + "NSW" → "Sydney, NSW"</t>
  </si>
  <si>
    <t>Clean this: "  MESSY   DATA  " → "Messy Data"</t>
  </si>
  <si>
    <t>📌 Pivot Tables — Summarize Thousands of Rows in Seconds</t>
  </si>
  <si>
    <t>🎯 USE CASE: "Show me total sales by category, by state, by rep — without writing a single formula"</t>
  </si>
  <si>
    <t>📝 STEP-BY-STEP INSTRUCTIONS</t>
  </si>
  <si>
    <t>STEP 1: Go to the "📊 Sales Data" sheet → Click any cell in the data (e.g., A1)</t>
  </si>
  <si>
    <t>STEP 2: Insert → PivotTable → Select "New Worksheet" → Click OK</t>
  </si>
  <si>
    <t>STEP 3: The PivotTable Field List will appear on the right side</t>
  </si>
  <si>
    <t>🔨 BUILD THESE PIVOT TABLES (Instructor will demo each):</t>
  </si>
  <si>
    <t>PIVOT TABLE 1: Revenue by Category</t>
  </si>
  <si>
    <t xml:space="preserve">   → Drag "Category" to ROWS</t>
  </si>
  <si>
    <t xml:space="preserve">   → Drag "Final Amount ($)" to VALUES</t>
  </si>
  <si>
    <t xml:space="preserve">   → Right-click value → Value Field Settings → Sum</t>
  </si>
  <si>
    <t>PIVOT TABLE 2: Revenue by State &amp; Category</t>
  </si>
  <si>
    <t xml:space="preserve">   → Drag "State" to ROWS</t>
  </si>
  <si>
    <t xml:space="preserve">   → Drag "Category" to COLUMNS</t>
  </si>
  <si>
    <t>PIVOT TABLE 3: Sales Rep Performance</t>
  </si>
  <si>
    <t xml:space="preserve">   → Drag "Sales Rep" to ROWS</t>
  </si>
  <si>
    <t xml:space="preserve">   → Drag "Final Amount ($)" to VALUES (set to Sum)</t>
  </si>
  <si>
    <t xml:space="preserve">   → Drag "Order ID" to VALUES (set to Count)</t>
  </si>
  <si>
    <t xml:space="preserve">   → Sort by Sum of Final Amount descending</t>
  </si>
  <si>
    <t>PIVOT TABLE 4: Monthly Trend</t>
  </si>
  <si>
    <t xml:space="preserve">   → Drag "Order Date" to ROWS</t>
  </si>
  <si>
    <t xml:space="preserve">   → Excel will auto-group by months!</t>
  </si>
  <si>
    <t>🔥 PRO TIPS:</t>
  </si>
  <si>
    <t xml:space="preserve">   → Right-click any value → Show Values As → % of Grand Total</t>
  </si>
  <si>
    <t xml:space="preserve">   → Drag "Status" to FILTERS to filter by Delivered/Shipped/etc.</t>
  </si>
  <si>
    <t xml:space="preserve">   → Double-click any pivot value to see the underlying rows!</t>
  </si>
  <si>
    <t xml:space="preserve">   → Right-click → Sort → Largest to Smallest for quick ranking</t>
  </si>
  <si>
    <t>📊 EXPECTED RESULTS (for verification)</t>
  </si>
  <si>
    <t>Expected Total</t>
  </si>
  <si>
    <t>📌 Charts — Tell a Story with Your Data</t>
  </si>
  <si>
    <t>🎯 USE CASE: "Show stakeholders revenue trends, category breakdown, rep performance — visually"</t>
  </si>
  <si>
    <t>📝 CHART TYPE GUIDE — Which Chart When?</t>
  </si>
  <si>
    <t>Chart Type</t>
  </si>
  <si>
    <t>Best For</t>
  </si>
  <si>
    <t>Example</t>
  </si>
  <si>
    <t>Bar / Column</t>
  </si>
  <si>
    <t>Comparing categories</t>
  </si>
  <si>
    <t>Revenue by State, Sales by Rep</t>
  </si>
  <si>
    <t>Pie / Donut</t>
  </si>
  <si>
    <t>Showing proportions (max 5-7 slices)</t>
  </si>
  <si>
    <t>Category % of total revenue</t>
  </si>
  <si>
    <t>Line</t>
  </si>
  <si>
    <t>Showing trends over time</t>
  </si>
  <si>
    <t>Monthly revenue trend</t>
  </si>
  <si>
    <t>Stacked Bar</t>
  </si>
  <si>
    <t>Comparing parts within categories</t>
  </si>
  <si>
    <t>Revenue by State broken down by Category</t>
  </si>
  <si>
    <t>Combo (Bar+Line)</t>
  </si>
  <si>
    <t>Two metrics on different scales</t>
  </si>
  <si>
    <t>Revenue (bar) + Order Count (line)</t>
  </si>
  <si>
    <t>📊 CHART 1: Revenue by Category (Column Chart)</t>
  </si>
  <si>
    <t>Total Revenue</t>
  </si>
  <si>
    <t>→ Select A15:B18 → Insert → Column Chart → Format with title "Revenue by Product Category"</t>
  </si>
  <si>
    <t>📊 CHART 2: Revenue by State (Bar Chart)</t>
  </si>
  <si>
    <t>Order Count</t>
  </si>
  <si>
    <t>→ Select A23:C28 → Insert → Combo Chart → Bar for Revenue, Line for Order Count on secondary axis</t>
  </si>
  <si>
    <t>📊 CHART 3: Sales Rep Performance (Bar Chart)</t>
  </si>
  <si>
    <t>Avg Order Value</t>
  </si>
  <si>
    <t>→ Select A33:B37 → Insert → Horizontal Bar Chart → Sort by largest</t>
  </si>
  <si>
    <t>📊 CHART 4: Order Status Distribution (Pie Chart)</t>
  </si>
  <si>
    <t>Count</t>
  </si>
  <si>
    <t>→ Select A42:B46 → Insert → Pie Chart → Add Data Labels → Format as percentage</t>
  </si>
  <si>
    <t>🎨 CHART FORMATTING TIPS</t>
  </si>
  <si>
    <t>✅ Always add a clear, descriptive title</t>
  </si>
  <si>
    <t>✅ Remove gridlines for cleaner look (Chart Design → Chart Element → Gridlines)</t>
  </si>
  <si>
    <t>✅ Use consistent colors across your presentation</t>
  </si>
  <si>
    <t>✅ Add data labels to bar/column charts for easy reading</t>
  </si>
  <si>
    <t>✅ For pie charts: max 5-7 slices, group small ones as "Other"</t>
  </si>
  <si>
    <t>✅ Remove legends when chart has only one data series — the title is enough</t>
  </si>
  <si>
    <t>sdfdsf</t>
  </si>
  <si>
    <t>Column1</t>
  </si>
  <si>
    <t>Column2</t>
  </si>
  <si>
    <t>Column3</t>
  </si>
  <si>
    <t>Column4</t>
  </si>
  <si>
    <t>Column5</t>
  </si>
  <si>
    <t>fdgfdg</t>
  </si>
  <si>
    <t>dfgfd</t>
  </si>
  <si>
    <t>Total</t>
  </si>
  <si>
    <t>Categories</t>
  </si>
  <si>
    <t>CountA</t>
  </si>
  <si>
    <t>Countif</t>
  </si>
  <si>
    <t>countifs</t>
  </si>
  <si>
    <t>Unit Price2 ($)</t>
  </si>
  <si>
    <t>Latest Order Value Product</t>
  </si>
  <si>
    <t>FULL NAME</t>
  </si>
  <si>
    <t>Emmasss Wilson</t>
  </si>
  <si>
    <t>FIRST NAME</t>
  </si>
  <si>
    <t>LAST NAME</t>
  </si>
  <si>
    <t>Row Labels</t>
  </si>
  <si>
    <t>Grand Total</t>
  </si>
  <si>
    <t>Sum of Final Amount ($)</t>
  </si>
  <si>
    <t>Products</t>
  </si>
  <si>
    <t>Final Amount</t>
  </si>
  <si>
    <t>Column Labels</t>
  </si>
  <si>
    <t>Campaign_ID</t>
  </si>
  <si>
    <t>Campaign_Name</t>
  </si>
  <si>
    <t>Channel</t>
  </si>
  <si>
    <t>Campaign_Type</t>
  </si>
  <si>
    <t>Quarter</t>
  </si>
  <si>
    <t>Start_Date</t>
  </si>
  <si>
    <t>End_Date</t>
  </si>
  <si>
    <t>Region</t>
  </si>
  <si>
    <t>Budget</t>
  </si>
  <si>
    <t>Spend</t>
  </si>
  <si>
    <t>Impressions</t>
  </si>
  <si>
    <t>Clicks</t>
  </si>
  <si>
    <t>Conversions</t>
  </si>
  <si>
    <t>Revenue</t>
  </si>
  <si>
    <t>Target_CPA</t>
  </si>
  <si>
    <t>Target_ROAS</t>
  </si>
  <si>
    <t>C001</t>
  </si>
  <si>
    <t>Spring_Launch</t>
  </si>
  <si>
    <t>Facebook</t>
  </si>
  <si>
    <t>Brand</t>
  </si>
  <si>
    <t>Q1</t>
  </si>
  <si>
    <t>National</t>
  </si>
  <si>
    <t>C002</t>
  </si>
  <si>
    <t>Google</t>
  </si>
  <si>
    <t>Search</t>
  </si>
  <si>
    <t>C003</t>
  </si>
  <si>
    <t>Easter_Promo</t>
  </si>
  <si>
    <t>Instagram</t>
  </si>
  <si>
    <t>Promo</t>
  </si>
  <si>
    <t>South</t>
  </si>
  <si>
    <t>C004</t>
  </si>
  <si>
    <t>Q1_Email_Blast</t>
  </si>
  <si>
    <t>C005</t>
  </si>
  <si>
    <t>Winter_Clearance</t>
  </si>
  <si>
    <t>North</t>
  </si>
  <si>
    <t>C006</t>
  </si>
  <si>
    <t>Brand_Awareness_Q1</t>
  </si>
  <si>
    <t>LinkedIn</t>
  </si>
  <si>
    <t>West</t>
  </si>
  <si>
    <t>C007</t>
  </si>
  <si>
    <t>Summer_Sale_2024</t>
  </si>
  <si>
    <t>Q2</t>
  </si>
  <si>
    <t>C008</t>
  </si>
  <si>
    <t>C009</t>
  </si>
  <si>
    <t>July_Clearance</t>
  </si>
  <si>
    <t>C010</t>
  </si>
  <si>
    <t>Mother_Day_Special</t>
  </si>
  <si>
    <t>East</t>
  </si>
  <si>
    <t>C011</t>
  </si>
  <si>
    <t>Memorial_Day</t>
  </si>
  <si>
    <t>TikTok</t>
  </si>
  <si>
    <t>C012</t>
  </si>
  <si>
    <t>Q2_Retargeting</t>
  </si>
  <si>
    <t>C013</t>
  </si>
  <si>
    <t>Back_to_School</t>
  </si>
  <si>
    <t>Q3</t>
  </si>
  <si>
    <t>C014</t>
  </si>
  <si>
    <t>C015</t>
  </si>
  <si>
    <t>Labor_Day_Sale</t>
  </si>
  <si>
    <t>C016</t>
  </si>
  <si>
    <t>Fall_Preview</t>
  </si>
  <si>
    <t>C017</t>
  </si>
  <si>
    <t>Q3_Newsletter</t>
  </si>
  <si>
    <t>C018</t>
  </si>
  <si>
    <t>Summer_End_Push</t>
  </si>
  <si>
    <t>C019</t>
  </si>
  <si>
    <t>Black_Friday</t>
  </si>
  <si>
    <t>Q4</t>
  </si>
  <si>
    <t>C020</t>
  </si>
  <si>
    <t>C021</t>
  </si>
  <si>
    <t>Holiday_Gift_Guide</t>
  </si>
  <si>
    <t>C022</t>
  </si>
  <si>
    <t>Cyber_Monday</t>
  </si>
  <si>
    <t>C023</t>
  </si>
  <si>
    <t>Year_End_Clearance</t>
  </si>
  <si>
    <t>C024</t>
  </si>
  <si>
    <t>Holiday_Email_Series</t>
  </si>
  <si>
    <t>Start at L2</t>
  </si>
  <si>
    <t>Start at K2</t>
  </si>
  <si>
    <t>Start at J2</t>
  </si>
  <si>
    <t>Nintendo Switch</t>
  </si>
  <si>
    <t>Count of Order ID</t>
  </si>
  <si>
    <t>Table2[Order ID]</t>
  </si>
  <si>
    <t>Table2[Order Date]</t>
  </si>
  <si>
    <t>Table2[Customer Name]</t>
  </si>
  <si>
    <t>Table2[Email]</t>
  </si>
  <si>
    <t>Table2[City]</t>
  </si>
  <si>
    <t>Table2[State]</t>
  </si>
  <si>
    <t>Table2[Product]</t>
  </si>
  <si>
    <t>Table2[Category]</t>
  </si>
  <si>
    <t>Table2[Unit Price ($)]</t>
  </si>
  <si>
    <t>Table2[Quantity]</t>
  </si>
  <si>
    <t>Table2[Discount %]</t>
  </si>
  <si>
    <t>Table2[Total Before Discount ($)]</t>
  </si>
  <si>
    <t>Table2[Discount Amount ($)]</t>
  </si>
  <si>
    <t>Table2[Final Amount ($)]</t>
  </si>
  <si>
    <t>Table2[Status]</t>
  </si>
  <si>
    <t>Table2[Sales Rep]</t>
  </si>
  <si>
    <t>Table2[Payment Method]</t>
  </si>
  <si>
    <t>Data returned for Sum of Final Amount ($), Dan Wilson (First 1000 rows).</t>
  </si>
  <si>
    <t>Jan</t>
  </si>
  <si>
    <t>Feb</t>
  </si>
  <si>
    <t>Mar</t>
  </si>
  <si>
    <t>Apr</t>
  </si>
  <si>
    <t>May</t>
  </si>
  <si>
    <t>Jun</t>
  </si>
  <si>
    <t>Sep</t>
  </si>
  <si>
    <t>Oct</t>
  </si>
  <si>
    <t>Nov</t>
  </si>
  <si>
    <t>Dec</t>
  </si>
  <si>
    <t>Table2[Order Date (Month)]</t>
  </si>
  <si>
    <t>Table2[Order Date (Month Index)]</t>
  </si>
  <si>
    <t>Data returned for Sum of Final Amount ($), Bob Smith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</si>
</sst>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dd\-mmm\-yyyy"/>
    <numFmt numFmtId="165" formatCode="\$#,##0.00"/>
    <numFmt numFmtId="166" formatCode="\$#,##0"/>
  </numFmts>
  <fonts count="20" x14ac:knownFonts="1">
    <font>
      <sz val="11"/>
      <color theme="1"/>
      <name val="Calibri"/>
      <family val="2"/>
      <charset val="1"/>
    </font>
    <font>
      <sz val="10"/>
      <name val="Arial"/>
    </font>
    <font>
      <b/>
      <sz val="22"/>
      <color rgb="FF2F5496"/>
      <name val="Arial"/>
      <charset val="1"/>
    </font>
    <font>
      <i/>
      <sz val="13"/>
      <color rgb="FF808080"/>
      <name val="Arial"/>
      <charset val="1"/>
    </font>
    <font>
      <b/>
      <sz val="12"/>
      <color rgb="FFFFFFFF"/>
      <name val="Arial"/>
      <charset val="1"/>
    </font>
    <font>
      <sz val="11"/>
      <name val="Arial"/>
      <charset val="1"/>
    </font>
    <font>
      <b/>
      <sz val="11"/>
      <color rgb="FF006600"/>
      <name val="Arial"/>
      <charset val="1"/>
    </font>
    <font>
      <b/>
      <sz val="13"/>
      <color rgb="FF2F5496"/>
      <name val="Arial"/>
      <charset val="1"/>
    </font>
    <font>
      <b/>
      <sz val="11"/>
      <color rgb="FF2F5496"/>
      <name val="Arial"/>
      <charset val="1"/>
    </font>
    <font>
      <b/>
      <sz val="11"/>
      <color rgb="FF0000FF"/>
      <name val="Arial"/>
      <charset val="1"/>
    </font>
    <font>
      <sz val="10"/>
      <color rgb="FF0000FF"/>
      <name val="Arial"/>
      <charset val="1"/>
    </font>
    <font>
      <b/>
      <sz val="11"/>
      <name val="Arial"/>
      <charset val="1"/>
    </font>
    <font>
      <i/>
      <sz val="11"/>
      <color rgb="FF808080"/>
      <name val="Arial"/>
      <charset val="1"/>
    </font>
    <font>
      <b/>
      <sz val="12"/>
      <color rgb="FF0000FF"/>
      <name val="Arial"/>
      <charset val="1"/>
    </font>
    <font>
      <sz val="11"/>
      <color rgb="FF006100"/>
      <name val="Calibri"/>
      <family val="2"/>
      <scheme val="minor"/>
    </font>
    <font>
      <sz val="11"/>
      <color rgb="FF9C0006"/>
      <name val="Calibri"/>
      <family val="2"/>
      <scheme val="minor"/>
    </font>
    <font>
      <b/>
      <sz val="11"/>
      <color theme="1"/>
      <name val="Calibri"/>
      <family val="2"/>
      <charset val="1"/>
    </font>
    <font>
      <b/>
      <sz val="11"/>
      <color rgb="FF006100"/>
      <name val="Calibri"/>
      <family val="2"/>
      <scheme val="minor"/>
    </font>
    <font>
      <b/>
      <sz val="11"/>
      <color rgb="FF9C0006"/>
      <name val="Calibri"/>
      <family val="2"/>
      <scheme val="minor"/>
    </font>
    <font>
      <i/>
      <sz val="11"/>
      <color rgb="FF808080"/>
      <name val="Arial"/>
      <family val="2"/>
    </font>
  </fonts>
  <fills count="10">
    <fill>
      <patternFill patternType="none"/>
    </fill>
    <fill>
      <patternFill patternType="gray125"/>
    </fill>
    <fill>
      <patternFill patternType="solid">
        <fgColor rgb="FF2F5496"/>
        <bgColor rgb="FF666699"/>
      </patternFill>
    </fill>
    <fill>
      <patternFill patternType="solid">
        <fgColor rgb="FFF2F2F2"/>
        <bgColor rgb="FFE2EFDA"/>
      </patternFill>
    </fill>
    <fill>
      <patternFill patternType="solid">
        <fgColor rgb="FFE2EFDA"/>
        <bgColor rgb="FFF2F2F2"/>
      </patternFill>
    </fill>
    <fill>
      <patternFill patternType="solid">
        <fgColor rgb="FFD6E4F0"/>
        <bgColor rgb="FFE2EFDA"/>
      </patternFill>
    </fill>
    <fill>
      <patternFill patternType="solid">
        <fgColor rgb="FFFFF2CC"/>
        <bgColor rgb="FFFFFFCC"/>
      </patternFill>
    </fill>
    <fill>
      <patternFill patternType="solid">
        <fgColor rgb="FFFFFFCC"/>
        <bgColor rgb="FFFFF2CC"/>
      </patternFill>
    </fill>
    <fill>
      <patternFill patternType="solid">
        <fgColor rgb="FFC6EFCE"/>
      </patternFill>
    </fill>
    <fill>
      <patternFill patternType="solid">
        <fgColor rgb="FFFFC7CE"/>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s>
  <cellStyleXfs count="4">
    <xf numFmtId="0" fontId="0" fillId="0" borderId="0"/>
    <xf numFmtId="44" fontId="1" fillId="0" borderId="0" applyBorder="0" applyAlignment="0" applyProtection="0"/>
    <xf numFmtId="0" fontId="14" fillId="8" borderId="0" applyNumberFormat="0" applyBorder="0" applyAlignment="0" applyProtection="0"/>
    <xf numFmtId="0" fontId="15" fillId="9" borderId="0" applyNumberFormat="0" applyBorder="0" applyAlignment="0" applyProtection="0"/>
  </cellStyleXfs>
  <cellXfs count="70">
    <xf numFmtId="0" fontId="0" fillId="0" borderId="0" xfId="0"/>
    <xf numFmtId="0" fontId="8" fillId="0" borderId="0" xfId="0" applyFont="1"/>
    <xf numFmtId="0" fontId="10" fillId="0" borderId="0" xfId="0" applyFont="1"/>
    <xf numFmtId="165" fontId="10" fillId="0" borderId="0" xfId="0" applyNumberFormat="1" applyFont="1"/>
    <xf numFmtId="0" fontId="8" fillId="5" borderId="0" xfId="0" applyFont="1" applyFill="1"/>
    <xf numFmtId="0" fontId="7" fillId="0" borderId="0" xfId="0" applyFont="1"/>
    <xf numFmtId="0" fontId="4" fillId="2" borderId="1" xfId="0" applyFont="1" applyFill="1" applyBorder="1"/>
    <xf numFmtId="0" fontId="5" fillId="3" borderId="1" xfId="0" applyFont="1" applyFill="1" applyBorder="1"/>
    <xf numFmtId="0" fontId="5" fillId="0" borderId="1" xfId="0" applyFont="1" applyBorder="1"/>
    <xf numFmtId="0" fontId="4" fillId="2" borderId="1" xfId="0" applyFont="1" applyFill="1" applyBorder="1" applyAlignment="1">
      <alignment horizontal="center" vertical="center" wrapText="1"/>
    </xf>
    <xf numFmtId="0" fontId="5" fillId="0" borderId="1" xfId="0" applyFont="1" applyBorder="1" applyAlignment="1">
      <alignment vertical="center"/>
    </xf>
    <xf numFmtId="164" fontId="5" fillId="0" borderId="1" xfId="0" applyNumberFormat="1" applyFont="1" applyBorder="1" applyAlignment="1">
      <alignment vertical="center"/>
    </xf>
    <xf numFmtId="9" fontId="5" fillId="0" borderId="1" xfId="0" applyNumberFormat="1" applyFont="1" applyBorder="1" applyAlignment="1">
      <alignment vertical="center"/>
    </xf>
    <xf numFmtId="0" fontId="9" fillId="0" borderId="0" xfId="0" applyFont="1"/>
    <xf numFmtId="0" fontId="11" fillId="4" borderId="0" xfId="0" applyFont="1" applyFill="1"/>
    <xf numFmtId="0" fontId="8" fillId="5" borderId="1" xfId="0" applyFont="1" applyFill="1" applyBorder="1"/>
    <xf numFmtId="165" fontId="5" fillId="0" borderId="1" xfId="0" applyNumberFormat="1" applyFont="1" applyBorder="1"/>
    <xf numFmtId="9" fontId="5" fillId="0" borderId="1" xfId="0" applyNumberFormat="1" applyFont="1" applyBorder="1"/>
    <xf numFmtId="0" fontId="5" fillId="4" borderId="1" xfId="0" applyFont="1" applyFill="1" applyBorder="1"/>
    <xf numFmtId="0" fontId="13" fillId="7" borderId="0" xfId="0" applyFont="1" applyFill="1"/>
    <xf numFmtId="0" fontId="0" fillId="0" borderId="1" xfId="0" applyBorder="1"/>
    <xf numFmtId="0" fontId="0" fillId="4" borderId="1" xfId="0" applyFill="1" applyBorder="1"/>
    <xf numFmtId="0" fontId="12" fillId="0" borderId="1" xfId="0" applyFont="1" applyBorder="1"/>
    <xf numFmtId="165" fontId="0" fillId="4" borderId="1" xfId="0" applyNumberFormat="1" applyFill="1" applyBorder="1"/>
    <xf numFmtId="166" fontId="0" fillId="0" borderId="1" xfId="0" applyNumberFormat="1" applyBorder="1"/>
    <xf numFmtId="0" fontId="8" fillId="5" borderId="2" xfId="0" applyFont="1" applyFill="1" applyBorder="1"/>
    <xf numFmtId="44" fontId="1" fillId="0" borderId="1" xfId="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0" borderId="8" xfId="0" applyFont="1" applyBorder="1" applyAlignment="1">
      <alignment vertical="center"/>
    </xf>
    <xf numFmtId="164" fontId="5" fillId="0" borderId="9" xfId="0" applyNumberFormat="1" applyFont="1" applyBorder="1" applyAlignment="1">
      <alignment vertical="center"/>
    </xf>
    <xf numFmtId="0" fontId="5" fillId="0" borderId="9" xfId="0" applyFont="1" applyBorder="1" applyAlignment="1">
      <alignment vertical="center"/>
    </xf>
    <xf numFmtId="44" fontId="1" fillId="0" borderId="9" xfId="1" applyBorder="1" applyAlignment="1">
      <alignment vertical="center"/>
    </xf>
    <xf numFmtId="9" fontId="5" fillId="0" borderId="9" xfId="0" applyNumberFormat="1" applyFont="1" applyBorder="1" applyAlignment="1">
      <alignment vertical="center"/>
    </xf>
    <xf numFmtId="0" fontId="5" fillId="0" borderId="10" xfId="0" applyFont="1" applyBorder="1" applyAlignment="1">
      <alignment vertical="center"/>
    </xf>
    <xf numFmtId="44" fontId="1" fillId="0" borderId="0" xfId="0" applyNumberFormat="1" applyFont="1"/>
    <xf numFmtId="0" fontId="1" fillId="0" borderId="9" xfId="0" applyFont="1" applyBorder="1" applyAlignment="1">
      <alignment vertical="center"/>
    </xf>
    <xf numFmtId="44" fontId="1" fillId="0" borderId="9" xfId="0" applyNumberFormat="1" applyFont="1" applyBorder="1" applyAlignment="1">
      <alignment vertical="center"/>
    </xf>
    <xf numFmtId="44" fontId="0" fillId="0" borderId="0" xfId="0" applyNumberFormat="1"/>
    <xf numFmtId="0" fontId="0" fillId="4" borderId="0" xfId="0" applyFill="1"/>
    <xf numFmtId="165" fontId="0" fillId="0" borderId="0" xfId="0" applyNumberFormat="1"/>
    <xf numFmtId="165" fontId="0" fillId="4" borderId="0" xfId="0" applyNumberFormat="1" applyFill="1"/>
    <xf numFmtId="0" fontId="8" fillId="5" borderId="11" xfId="0" applyFont="1" applyFill="1" applyBorder="1"/>
    <xf numFmtId="0" fontId="0" fillId="0" borderId="0" xfId="0" pivotButton="1"/>
    <xf numFmtId="0" fontId="0" fillId="0" borderId="0" xfId="0" applyAlignment="1">
      <alignment horizontal="left"/>
    </xf>
    <xf numFmtId="14" fontId="0" fillId="0" borderId="0" xfId="0" applyNumberFormat="1"/>
    <xf numFmtId="0" fontId="2" fillId="0" borderId="0" xfId="0" applyFont="1" applyAlignment="1">
      <alignment horizontal="center"/>
    </xf>
    <xf numFmtId="0" fontId="3" fillId="0" borderId="0" xfId="0" applyFont="1" applyAlignment="1">
      <alignment horizontal="center"/>
    </xf>
    <xf numFmtId="0" fontId="6" fillId="0" borderId="0" xfId="0" applyFont="1"/>
    <xf numFmtId="0" fontId="5" fillId="0" borderId="0" xfId="0" applyFont="1"/>
    <xf numFmtId="0" fontId="0" fillId="6" borderId="0" xfId="0" applyFill="1"/>
    <xf numFmtId="0" fontId="0" fillId="0" borderId="0" xfId="0"/>
    <xf numFmtId="0" fontId="10" fillId="0" borderId="0" xfId="0" applyFont="1"/>
    <xf numFmtId="0" fontId="8" fillId="5" borderId="0" xfId="0" applyFont="1" applyFill="1"/>
    <xf numFmtId="165" fontId="0" fillId="0" borderId="0" xfId="0" applyNumberFormat="1"/>
    <xf numFmtId="165" fontId="10" fillId="0" borderId="0" xfId="0" applyNumberFormat="1" applyFont="1"/>
    <xf numFmtId="0" fontId="7" fillId="0" borderId="0" xfId="0" applyFont="1"/>
    <xf numFmtId="0" fontId="6" fillId="4" borderId="0" xfId="0" applyFont="1" applyFill="1"/>
    <xf numFmtId="0" fontId="12" fillId="0" borderId="0" xfId="0" applyFont="1"/>
    <xf numFmtId="0" fontId="8" fillId="0" borderId="0" xfId="0" applyFont="1"/>
    <xf numFmtId="44" fontId="0" fillId="6" borderId="0" xfId="0" applyNumberFormat="1" applyFill="1"/>
    <xf numFmtId="0" fontId="17" fillId="8" borderId="0" xfId="2" applyFont="1"/>
    <xf numFmtId="0" fontId="18" fillId="9" borderId="0" xfId="3" applyFont="1"/>
    <xf numFmtId="0" fontId="0" fillId="0" borderId="0" xfId="0" applyNumberFormat="1"/>
    <xf numFmtId="0" fontId="16" fillId="0" borderId="0" xfId="0" applyFont="1"/>
    <xf numFmtId="14" fontId="0" fillId="0" borderId="0" xfId="0" applyNumberFormat="1" applyAlignment="1">
      <alignment horizontal="left"/>
    </xf>
    <xf numFmtId="0" fontId="19" fillId="0" borderId="0" xfId="0" applyFont="1"/>
  </cellXfs>
  <cellStyles count="4">
    <cellStyle name="Bad" xfId="3" builtinId="27"/>
    <cellStyle name="Currency" xfId="1" builtinId="4"/>
    <cellStyle name="Good" xfId="2" builtinId="26"/>
    <cellStyle name="Normal" xfId="0" builtinId="0"/>
  </cellStyles>
  <dxfs count="51">
    <dxf>
      <numFmt numFmtId="19" formatCode="d/mm/yyyy"/>
    </dxf>
    <dxf>
      <numFmt numFmtId="19" formatCode="d/mm/yyyy"/>
    </dxf>
    <dxf>
      <numFmt numFmtId="19" formatCode="d/mm/yyyy"/>
    </dxf>
    <dxf>
      <numFmt numFmtId="19" formatCode="d/mm/yyyy"/>
    </dxf>
    <dxf>
      <font>
        <b val="0"/>
        <i val="0"/>
        <strike val="0"/>
        <condense val="0"/>
        <extend val="0"/>
        <outline val="0"/>
        <shadow val="0"/>
        <u val="none"/>
        <vertAlign val="baseline"/>
        <sz val="10"/>
        <color auto="1"/>
        <name val="Arial"/>
        <scheme val="none"/>
      </font>
      <numFmt numFmtId="34" formatCode="_-&quot;$&quot;* #,##0.00_-;\-&quot;$&quot;* #,##0.00_-;_-&quot;$&quot;* &quot;-&quot;??_-;_-@_-"/>
      <fill>
        <patternFill patternType="none">
          <fgColor indexed="64"/>
          <bgColor indexed="65"/>
        </patternFill>
      </fill>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numFmt numFmtId="13" formatCode="0%"/>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Arial"/>
        <scheme val="none"/>
      </font>
      <numFmt numFmtId="34" formatCode="_-&quot;$&quot;* #,##0.00_-;\-&quot;$&quot;* #,##0.00_-;_-&quot;$&quot;*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Arial"/>
        <charset val="1"/>
        <scheme val="none"/>
      </font>
      <numFmt numFmtId="164" formatCode="dd\-mmm\-yyyy"/>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1"/>
        <color auto="1"/>
        <name val="Arial"/>
        <charset val="1"/>
        <scheme val="none"/>
      </font>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2"/>
        <color rgb="FFFFFFFF"/>
        <name val="Arial"/>
        <charset val="1"/>
        <scheme val="none"/>
      </font>
      <fill>
        <patternFill patternType="solid">
          <fgColor rgb="FF666699"/>
          <bgColor rgb="FF2F5496"/>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0" formatCode="General"/>
    </dxf>
    <dxf>
      <numFmt numFmtId="19" formatCode="d/mm/yyyy"/>
    </dxf>
    <dxf>
      <numFmt numFmtId="19" formatCode="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C0C0C0"/>
      <rgbColor rgb="FF808080"/>
      <rgbColor rgb="FF9999FF"/>
      <rgbColor rgb="FF7030A0"/>
      <rgbColor rgb="FFFFFF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B0F0"/>
      <rgbColor rgb="FFCCFFFF"/>
      <rgbColor rgb="FFE2EFDA"/>
      <rgbColor rgb="FFFFF2CC"/>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00B050"/>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[Excel_Tutorial_90min_ML.xlsx]Sheet1!PivotTable1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Sheet1!$L$1</c:f>
              <c:strCache>
                <c:ptCount val="1"/>
                <c:pt idx="0">
                  <c:v>Total</c:v>
                </c:pt>
              </c:strCache>
            </c:strRef>
          </c:tx>
          <c:spPr>
            <a:solidFill>
              <a:schemeClr val="accent1"/>
            </a:solidFill>
            <a:ln>
              <a:noFill/>
            </a:ln>
            <a:effectLst/>
          </c:spPr>
          <c:invertIfNegative val="0"/>
          <c:cat>
            <c:strRef>
              <c:f>Sheet1!$K$2:$K$17</c:f>
              <c:strCache>
                <c:ptCount val="15"/>
                <c:pt idx="0">
                  <c:v>Laptop</c:v>
                </c:pt>
                <c:pt idx="1">
                  <c:v>Monitor 27"</c:v>
                </c:pt>
                <c:pt idx="2">
                  <c:v>Desk Chair</c:v>
                </c:pt>
                <c:pt idx="3">
                  <c:v>Standing Desk</c:v>
                </c:pt>
                <c:pt idx="4">
                  <c:v>Bookshelf</c:v>
                </c:pt>
                <c:pt idx="5">
                  <c:v>Headphones</c:v>
                </c:pt>
                <c:pt idx="6">
                  <c:v>Keyboard</c:v>
                </c:pt>
                <c:pt idx="7">
                  <c:v>Whiteboard</c:v>
                </c:pt>
                <c:pt idx="8">
                  <c:v>Desk Lamp</c:v>
                </c:pt>
                <c:pt idx="9">
                  <c:v>USB-C Hub</c:v>
                </c:pt>
                <c:pt idx="10">
                  <c:v>Webcam HD</c:v>
                </c:pt>
                <c:pt idx="11">
                  <c:v>Notebook Pack</c:v>
                </c:pt>
                <c:pt idx="12">
                  <c:v>Printer Paper</c:v>
                </c:pt>
                <c:pt idx="13">
                  <c:v>Wireless Mouse</c:v>
                </c:pt>
                <c:pt idx="14">
                  <c:v>Pen Set</c:v>
                </c:pt>
              </c:strCache>
            </c:strRef>
          </c:cat>
          <c:val>
            <c:numRef>
              <c:f>Sheet1!$L$2:$L$17</c:f>
              <c:numCache>
                <c:formatCode>_("$"* #,##0.00_);_("$"* \(#,##0.00\);_("$"* "-"??_);_(@_)</c:formatCode>
                <c:ptCount val="15"/>
                <c:pt idx="0">
                  <c:v>26639.704000000002</c:v>
                </c:pt>
                <c:pt idx="1">
                  <c:v>13019.628000000001</c:v>
                </c:pt>
                <c:pt idx="2">
                  <c:v>9359.6879999999983</c:v>
                </c:pt>
                <c:pt idx="3">
                  <c:v>8799.8240000000005</c:v>
                </c:pt>
                <c:pt idx="4">
                  <c:v>3217.2855</c:v>
                </c:pt>
                <c:pt idx="5">
                  <c:v>2833.7820000000002</c:v>
                </c:pt>
                <c:pt idx="6">
                  <c:v>1219.8474999999999</c:v>
                </c:pt>
                <c:pt idx="7">
                  <c:v>1031.828</c:v>
                </c:pt>
                <c:pt idx="8">
                  <c:v>871.78199999999993</c:v>
                </c:pt>
                <c:pt idx="9">
                  <c:v>707.35850000000005</c:v>
                </c:pt>
                <c:pt idx="10">
                  <c:v>542.4224999999999</c:v>
                </c:pt>
                <c:pt idx="11">
                  <c:v>308.51250000000005</c:v>
                </c:pt>
                <c:pt idx="12">
                  <c:v>303.62849999999992</c:v>
                </c:pt>
                <c:pt idx="13">
                  <c:v>278.90699999999998</c:v>
                </c:pt>
                <c:pt idx="14">
                  <c:v>92.147500000000008</c:v>
                </c:pt>
              </c:numCache>
            </c:numRef>
          </c:val>
          <c:extLst>
            <c:ext xmlns:c16="http://schemas.microsoft.com/office/drawing/2014/chart" uri="{C3380CC4-5D6E-409C-BE32-E72D297353CC}">
              <c16:uniqueId val="{00000000-E352-42A9-BAC3-EC2AC16D709A}"/>
            </c:ext>
          </c:extLst>
        </c:ser>
        <c:dLbls>
          <c:showLegendKey val="0"/>
          <c:showVal val="0"/>
          <c:showCatName val="0"/>
          <c:showSerName val="0"/>
          <c:showPercent val="0"/>
          <c:showBubbleSize val="0"/>
        </c:dLbls>
        <c:gapWidth val="182"/>
        <c:axId val="842955808"/>
        <c:axId val="842956288"/>
      </c:barChart>
      <c:catAx>
        <c:axId val="8429558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956288"/>
        <c:crosses val="autoZero"/>
        <c:auto val="1"/>
        <c:lblAlgn val="ctr"/>
        <c:lblOffset val="100"/>
        <c:noMultiLvlLbl val="0"/>
      </c:catAx>
      <c:valAx>
        <c:axId val="842956288"/>
        <c:scaling>
          <c:orientation val="minMax"/>
        </c:scaling>
        <c:delete val="0"/>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95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[Excel_Tutorial_90min_ML.xlsx]Pivot 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8638565741234"/>
          <c:y val="4.7159699892818867E-2"/>
          <c:w val="0.74790268756544787"/>
          <c:h val="0.85338363251217397"/>
        </c:manualLayout>
      </c:layout>
      <c:barChart>
        <c:barDir val="col"/>
        <c:grouping val="clustered"/>
        <c:varyColors val="0"/>
        <c:ser>
          <c:idx val="0"/>
          <c:order val="0"/>
          <c:tx>
            <c:strRef>
              <c:f>'Pivot Tables'!$J$5:$J$6</c:f>
              <c:strCache>
                <c:ptCount val="1"/>
                <c:pt idx="0">
                  <c:v>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NSW</c:v>
                </c:pt>
                <c:pt idx="1">
                  <c:v>QLD</c:v>
                </c:pt>
                <c:pt idx="2">
                  <c:v>SA</c:v>
                </c:pt>
                <c:pt idx="3">
                  <c:v>VIC</c:v>
                </c:pt>
                <c:pt idx="4">
                  <c:v>WA</c:v>
                </c:pt>
              </c:strCache>
            </c:strRef>
          </c:cat>
          <c:val>
            <c:numRef>
              <c:f>'Pivot Tables'!$J$7:$J$12</c:f>
              <c:numCache>
                <c:formatCode>General</c:formatCode>
                <c:ptCount val="5"/>
                <c:pt idx="0">
                  <c:v>10199.694000000001</c:v>
                </c:pt>
                <c:pt idx="1">
                  <c:v>7355.6770000000006</c:v>
                </c:pt>
                <c:pt idx="2">
                  <c:v>14831.728499999999</c:v>
                </c:pt>
                <c:pt idx="3">
                  <c:v>7294.6679999999997</c:v>
                </c:pt>
                <c:pt idx="4">
                  <c:v>5559.8819999999996</c:v>
                </c:pt>
              </c:numCache>
            </c:numRef>
          </c:val>
          <c:extLst>
            <c:ext xmlns:c16="http://schemas.microsoft.com/office/drawing/2014/chart" uri="{C3380CC4-5D6E-409C-BE32-E72D297353CC}">
              <c16:uniqueId val="{00000000-4751-46E9-BC58-6F183C7B798C}"/>
            </c:ext>
          </c:extLst>
        </c:ser>
        <c:ser>
          <c:idx val="1"/>
          <c:order val="1"/>
          <c:tx>
            <c:strRef>
              <c:f>'Pivot Tables'!$K$5:$K$6</c:f>
              <c:strCache>
                <c:ptCount val="1"/>
                <c:pt idx="0">
                  <c:v>Furniture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NSW</c:v>
                </c:pt>
                <c:pt idx="1">
                  <c:v>QLD</c:v>
                </c:pt>
                <c:pt idx="2">
                  <c:v>SA</c:v>
                </c:pt>
                <c:pt idx="3">
                  <c:v>VIC</c:v>
                </c:pt>
                <c:pt idx="4">
                  <c:v>WA</c:v>
                </c:pt>
              </c:strCache>
            </c:strRef>
          </c:cat>
          <c:val>
            <c:numRef>
              <c:f>'Pivot Tables'!$K$7:$K$12</c:f>
              <c:numCache>
                <c:formatCode>General</c:formatCode>
                <c:ptCount val="5"/>
                <c:pt idx="0">
                  <c:v>7033.7565000000004</c:v>
                </c:pt>
                <c:pt idx="1">
                  <c:v>744.91150000000005</c:v>
                </c:pt>
                <c:pt idx="2">
                  <c:v>3599.88</c:v>
                </c:pt>
                <c:pt idx="3">
                  <c:v>8379.179500000002</c:v>
                </c:pt>
                <c:pt idx="4">
                  <c:v>2490.8519999999999</c:v>
                </c:pt>
              </c:numCache>
            </c:numRef>
          </c:val>
          <c:extLst>
            <c:ext xmlns:c16="http://schemas.microsoft.com/office/drawing/2014/chart" uri="{C3380CC4-5D6E-409C-BE32-E72D297353CC}">
              <c16:uniqueId val="{00000002-4751-46E9-BC58-6F183C7B798C}"/>
            </c:ext>
          </c:extLst>
        </c:ser>
        <c:ser>
          <c:idx val="2"/>
          <c:order val="2"/>
          <c:tx>
            <c:strRef>
              <c:f>'Pivot Tables'!$L$5:$L$6</c:f>
              <c:strCache>
                <c:ptCount val="1"/>
                <c:pt idx="0">
                  <c:v>Office Supplies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Tables'!$I$7:$I$12</c:f>
              <c:strCache>
                <c:ptCount val="5"/>
                <c:pt idx="0">
                  <c:v>NSW</c:v>
                </c:pt>
                <c:pt idx="1">
                  <c:v>QLD</c:v>
                </c:pt>
                <c:pt idx="2">
                  <c:v>SA</c:v>
                </c:pt>
                <c:pt idx="3">
                  <c:v>VIC</c:v>
                </c:pt>
                <c:pt idx="4">
                  <c:v>WA</c:v>
                </c:pt>
              </c:strCache>
            </c:strRef>
          </c:cat>
          <c:val>
            <c:numRef>
              <c:f>'Pivot Tables'!$L$7:$L$12</c:f>
              <c:numCache>
                <c:formatCode>General</c:formatCode>
                <c:ptCount val="5"/>
                <c:pt idx="0">
                  <c:v>704.21</c:v>
                </c:pt>
                <c:pt idx="1">
                  <c:v>352.41499999999996</c:v>
                </c:pt>
                <c:pt idx="2">
                  <c:v>177.15749999999997</c:v>
                </c:pt>
                <c:pt idx="3">
                  <c:v>445.80150000000003</c:v>
                </c:pt>
                <c:pt idx="4">
                  <c:v>56.532500000000006</c:v>
                </c:pt>
              </c:numCache>
            </c:numRef>
          </c:val>
          <c:extLst>
            <c:ext xmlns:c16="http://schemas.microsoft.com/office/drawing/2014/chart" uri="{C3380CC4-5D6E-409C-BE32-E72D297353CC}">
              <c16:uniqueId val="{00000003-4751-46E9-BC58-6F183C7B798C}"/>
            </c:ext>
          </c:extLst>
        </c:ser>
        <c:dLbls>
          <c:dLblPos val="outEnd"/>
          <c:showLegendKey val="0"/>
          <c:showVal val="1"/>
          <c:showCatName val="0"/>
          <c:showSerName val="0"/>
          <c:showPercent val="0"/>
          <c:showBubbleSize val="0"/>
        </c:dLbls>
        <c:gapWidth val="219"/>
        <c:overlap val="-27"/>
        <c:axId val="1218715776"/>
        <c:axId val="1218714816"/>
      </c:barChart>
      <c:catAx>
        <c:axId val="1218715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714816"/>
        <c:crosses val="autoZero"/>
        <c:auto val="1"/>
        <c:lblAlgn val="ctr"/>
        <c:lblOffset val="100"/>
        <c:noMultiLvlLbl val="0"/>
      </c:catAx>
      <c:valAx>
        <c:axId val="121871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71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Revenue</a:t>
            </a:r>
            <a:r>
              <a:rPr lang="en-AU" baseline="0"/>
              <a:t> by Product Category</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070603674540682"/>
          <c:y val="0.17634259259259263"/>
          <c:w val="0.84596062992125987"/>
          <c:h val="0.72088764946048411"/>
        </c:manualLayout>
      </c:layout>
      <c:barChart>
        <c:barDir val="col"/>
        <c:grouping val="clustered"/>
        <c:varyColors val="0"/>
        <c:ser>
          <c:idx val="0"/>
          <c:order val="0"/>
          <c:tx>
            <c:strRef>
              <c:f>Charts!$B$15</c:f>
              <c:strCache>
                <c:ptCount val="1"/>
                <c:pt idx="0">
                  <c:v>Total Revenue</c:v>
                </c:pt>
              </c:strCache>
            </c:strRef>
          </c:tx>
          <c:spPr>
            <a:solidFill>
              <a:schemeClr val="accent1"/>
            </a:solidFill>
            <a:ln>
              <a:noFill/>
            </a:ln>
            <a:effectLst/>
          </c:spPr>
          <c:invertIfNegative val="0"/>
          <c:cat>
            <c:strRef>
              <c:f>Charts!$A$16:$A$18</c:f>
              <c:strCache>
                <c:ptCount val="3"/>
                <c:pt idx="0">
                  <c:v>Electronics</c:v>
                </c:pt>
                <c:pt idx="1">
                  <c:v>Furniture</c:v>
                </c:pt>
                <c:pt idx="2">
                  <c:v>Office Supplies</c:v>
                </c:pt>
              </c:strCache>
            </c:strRef>
          </c:cat>
          <c:val>
            <c:numRef>
              <c:f>Charts!$B$16:$B$18</c:f>
              <c:numCache>
                <c:formatCode>\$#,##0</c:formatCode>
                <c:ptCount val="3"/>
                <c:pt idx="0">
                  <c:v>45241.649499999992</c:v>
                </c:pt>
                <c:pt idx="1">
                  <c:v>22248.5795</c:v>
                </c:pt>
                <c:pt idx="2">
                  <c:v>1736.1165000000001</c:v>
                </c:pt>
              </c:numCache>
            </c:numRef>
          </c:val>
          <c:extLst>
            <c:ext xmlns:c16="http://schemas.microsoft.com/office/drawing/2014/chart" uri="{C3380CC4-5D6E-409C-BE32-E72D297353CC}">
              <c16:uniqueId val="{00000000-2E56-4F67-A421-E0EF4F31E755}"/>
            </c:ext>
          </c:extLst>
        </c:ser>
        <c:dLbls>
          <c:showLegendKey val="0"/>
          <c:showVal val="0"/>
          <c:showCatName val="0"/>
          <c:showSerName val="0"/>
          <c:showPercent val="0"/>
          <c:showBubbleSize val="0"/>
        </c:dLbls>
        <c:gapWidth val="219"/>
        <c:overlap val="-27"/>
        <c:axId val="1711027695"/>
        <c:axId val="1711024335"/>
      </c:barChart>
      <c:catAx>
        <c:axId val="171102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24335"/>
        <c:crosses val="autoZero"/>
        <c:auto val="1"/>
        <c:lblAlgn val="ctr"/>
        <c:lblOffset val="100"/>
        <c:noMultiLvlLbl val="0"/>
      </c:catAx>
      <c:valAx>
        <c:axId val="1711024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2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Revenue</a:t>
            </a:r>
            <a:r>
              <a:rPr lang="en-AU" baseline="0"/>
              <a:t> by State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Charts!$B$23</c:f>
              <c:strCache>
                <c:ptCount val="1"/>
                <c:pt idx="0">
                  <c:v>Total Revenue</c:v>
                </c:pt>
              </c:strCache>
            </c:strRef>
          </c:tx>
          <c:spPr>
            <a:solidFill>
              <a:schemeClr val="accent1"/>
            </a:solidFill>
            <a:ln>
              <a:noFill/>
            </a:ln>
            <a:effectLst/>
          </c:spPr>
          <c:invertIfNegative val="0"/>
          <c:cat>
            <c:strRef>
              <c:f>Charts!$A$24:$A$28</c:f>
              <c:strCache>
                <c:ptCount val="5"/>
                <c:pt idx="0">
                  <c:v>NSW</c:v>
                </c:pt>
                <c:pt idx="1">
                  <c:v>VIC</c:v>
                </c:pt>
                <c:pt idx="2">
                  <c:v>QLD</c:v>
                </c:pt>
                <c:pt idx="3">
                  <c:v>WA</c:v>
                </c:pt>
                <c:pt idx="4">
                  <c:v>SA</c:v>
                </c:pt>
              </c:strCache>
            </c:strRef>
          </c:cat>
          <c:val>
            <c:numRef>
              <c:f>Charts!$B$24:$B$28</c:f>
              <c:numCache>
                <c:formatCode>\$#,##0</c:formatCode>
                <c:ptCount val="5"/>
                <c:pt idx="0">
                  <c:v>17937.660500000016</c:v>
                </c:pt>
                <c:pt idx="1">
                  <c:v>16119.648999999999</c:v>
                </c:pt>
                <c:pt idx="2">
                  <c:v>8453.0035000000007</c:v>
                </c:pt>
                <c:pt idx="3">
                  <c:v>8107.2664999999997</c:v>
                </c:pt>
                <c:pt idx="4">
                  <c:v>18608.766000000003</c:v>
                </c:pt>
              </c:numCache>
            </c:numRef>
          </c:val>
          <c:extLst>
            <c:ext xmlns:c16="http://schemas.microsoft.com/office/drawing/2014/chart" uri="{C3380CC4-5D6E-409C-BE32-E72D297353CC}">
              <c16:uniqueId val="{00000000-C298-4945-9710-CF4530E4E514}"/>
            </c:ext>
          </c:extLst>
        </c:ser>
        <c:dLbls>
          <c:showLegendKey val="0"/>
          <c:showVal val="0"/>
          <c:showCatName val="0"/>
          <c:showSerName val="0"/>
          <c:showPercent val="0"/>
          <c:showBubbleSize val="0"/>
        </c:dLbls>
        <c:gapWidth val="150"/>
        <c:axId val="119131583"/>
        <c:axId val="119130623"/>
      </c:barChart>
      <c:lineChart>
        <c:grouping val="standard"/>
        <c:varyColors val="0"/>
        <c:ser>
          <c:idx val="1"/>
          <c:order val="1"/>
          <c:tx>
            <c:strRef>
              <c:f>Charts!$C$23</c:f>
              <c:strCache>
                <c:ptCount val="1"/>
                <c:pt idx="0">
                  <c:v>Order Count</c:v>
                </c:pt>
              </c:strCache>
            </c:strRef>
          </c:tx>
          <c:spPr>
            <a:ln w="28575" cap="rnd">
              <a:solidFill>
                <a:schemeClr val="accent2"/>
              </a:solidFill>
              <a:round/>
            </a:ln>
            <a:effectLst/>
          </c:spPr>
          <c:marker>
            <c:symbol val="none"/>
          </c:marker>
          <c:cat>
            <c:strRef>
              <c:f>Charts!$A$24:$A$28</c:f>
              <c:strCache>
                <c:ptCount val="5"/>
                <c:pt idx="0">
                  <c:v>NSW</c:v>
                </c:pt>
                <c:pt idx="1">
                  <c:v>VIC</c:v>
                </c:pt>
                <c:pt idx="2">
                  <c:v>QLD</c:v>
                </c:pt>
                <c:pt idx="3">
                  <c:v>WA</c:v>
                </c:pt>
                <c:pt idx="4">
                  <c:v>SA</c:v>
                </c:pt>
              </c:strCache>
            </c:strRef>
          </c:cat>
          <c:val>
            <c:numRef>
              <c:f>Charts!$C$24:$C$28</c:f>
              <c:numCache>
                <c:formatCode>General</c:formatCode>
                <c:ptCount val="5"/>
                <c:pt idx="0">
                  <c:v>32</c:v>
                </c:pt>
                <c:pt idx="1">
                  <c:v>25</c:v>
                </c:pt>
                <c:pt idx="2">
                  <c:v>20</c:v>
                </c:pt>
                <c:pt idx="3">
                  <c:v>10</c:v>
                </c:pt>
                <c:pt idx="4">
                  <c:v>15</c:v>
                </c:pt>
              </c:numCache>
            </c:numRef>
          </c:val>
          <c:smooth val="0"/>
          <c:extLst>
            <c:ext xmlns:c16="http://schemas.microsoft.com/office/drawing/2014/chart" uri="{C3380CC4-5D6E-409C-BE32-E72D297353CC}">
              <c16:uniqueId val="{00000001-C298-4945-9710-CF4530E4E514}"/>
            </c:ext>
          </c:extLst>
        </c:ser>
        <c:dLbls>
          <c:showLegendKey val="0"/>
          <c:showVal val="0"/>
          <c:showCatName val="0"/>
          <c:showSerName val="0"/>
          <c:showPercent val="0"/>
          <c:showBubbleSize val="0"/>
        </c:dLbls>
        <c:marker val="1"/>
        <c:smooth val="0"/>
        <c:axId val="286422511"/>
        <c:axId val="286425391"/>
      </c:lineChart>
      <c:catAx>
        <c:axId val="11913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0623"/>
        <c:auto val="1"/>
        <c:lblAlgn val="ctr"/>
        <c:lblOffset val="100"/>
        <c:noMultiLvlLbl val="0"/>
      </c:catAx>
      <c:valAx>
        <c:axId val="119130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1583"/>
        <c:crossBetween val="between"/>
      </c:valAx>
      <c:valAx>
        <c:axId val="2864253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422511"/>
        <c:crosses val="max"/>
        <c:crossBetween val="between"/>
      </c:valAx>
      <c:catAx>
        <c:axId val="286422511"/>
        <c:scaling>
          <c:orientation val="minMax"/>
        </c:scaling>
        <c:delete val="1"/>
        <c:axPos val="b"/>
        <c:numFmt formatCode="General" sourceLinked="1"/>
        <c:majorTickMark val="none"/>
        <c:minorTickMark val="none"/>
        <c:tickLblPos val="nextTo"/>
        <c:crossAx val="286425391"/>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Sales Rep</a:t>
            </a:r>
            <a:r>
              <a:rPr lang="en-AU" baseline="0"/>
              <a:t> Performance</a:t>
            </a:r>
            <a:endParaRPr lang="en-AU"/>
          </a:p>
        </c:rich>
      </c:tx>
      <c:layout>
        <c:manualLayout>
          <c:xMode val="edge"/>
          <c:yMode val="edge"/>
          <c:x val="0.401159667541557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Charts!$B$33</c:f>
              <c:strCache>
                <c:ptCount val="1"/>
                <c:pt idx="0">
                  <c:v>Total Revenue</c:v>
                </c:pt>
              </c:strCache>
            </c:strRef>
          </c:tx>
          <c:spPr>
            <a:solidFill>
              <a:schemeClr val="accent1"/>
            </a:solidFill>
            <a:ln>
              <a:noFill/>
            </a:ln>
            <a:effectLst/>
            <a:sp3d/>
          </c:spPr>
          <c:invertIfNegative val="0"/>
          <c:cat>
            <c:strRef>
              <c:f>Charts!$A$34:$A$37</c:f>
              <c:strCache>
                <c:ptCount val="4"/>
                <c:pt idx="0">
                  <c:v>Bob Smith</c:v>
                </c:pt>
                <c:pt idx="1">
                  <c:v>Alice Morgan</c:v>
                </c:pt>
                <c:pt idx="2">
                  <c:v>Dan Wilson</c:v>
                </c:pt>
                <c:pt idx="3">
                  <c:v>Carol Davis</c:v>
                </c:pt>
              </c:strCache>
            </c:strRef>
          </c:cat>
          <c:val>
            <c:numRef>
              <c:f>Charts!$B$34:$B$37</c:f>
              <c:numCache>
                <c:formatCode>\$#,##0</c:formatCode>
                <c:ptCount val="4"/>
                <c:pt idx="0">
                  <c:v>22987.416000000008</c:v>
                </c:pt>
                <c:pt idx="1">
                  <c:v>18996.035499999998</c:v>
                </c:pt>
                <c:pt idx="2">
                  <c:v>18968.448500000006</c:v>
                </c:pt>
                <c:pt idx="3">
                  <c:v>8274.4454999999962</c:v>
                </c:pt>
              </c:numCache>
            </c:numRef>
          </c:val>
          <c:extLst>
            <c:ext xmlns:c16="http://schemas.microsoft.com/office/drawing/2014/chart" uri="{C3380CC4-5D6E-409C-BE32-E72D297353CC}">
              <c16:uniqueId val="{00000000-8DED-4F8A-8984-DCD4970B1A74}"/>
            </c:ext>
          </c:extLst>
        </c:ser>
        <c:ser>
          <c:idx val="1"/>
          <c:order val="1"/>
          <c:tx>
            <c:strRef>
              <c:f>Charts!$C$33</c:f>
              <c:strCache>
                <c:ptCount val="1"/>
                <c:pt idx="0">
                  <c:v>Avg Order Value</c:v>
                </c:pt>
              </c:strCache>
            </c:strRef>
          </c:tx>
          <c:spPr>
            <a:solidFill>
              <a:schemeClr val="accent2"/>
            </a:solidFill>
            <a:ln>
              <a:noFill/>
            </a:ln>
            <a:effectLst/>
            <a:sp3d/>
          </c:spPr>
          <c:invertIfNegative val="0"/>
          <c:cat>
            <c:strRef>
              <c:f>Charts!$A$34:$A$37</c:f>
              <c:strCache>
                <c:ptCount val="4"/>
                <c:pt idx="0">
                  <c:v>Bob Smith</c:v>
                </c:pt>
                <c:pt idx="1">
                  <c:v>Alice Morgan</c:v>
                </c:pt>
                <c:pt idx="2">
                  <c:v>Dan Wilson</c:v>
                </c:pt>
                <c:pt idx="3">
                  <c:v>Carol Davis</c:v>
                </c:pt>
              </c:strCache>
            </c:strRef>
          </c:cat>
          <c:val>
            <c:numRef>
              <c:f>Charts!$C$34:$C$37</c:f>
              <c:numCache>
                <c:formatCode>\$#,##0</c:formatCode>
                <c:ptCount val="4"/>
                <c:pt idx="0">
                  <c:v>792.66951724137959</c:v>
                </c:pt>
                <c:pt idx="1">
                  <c:v>791.50147916666663</c:v>
                </c:pt>
                <c:pt idx="2">
                  <c:v>862.20220454545483</c:v>
                </c:pt>
                <c:pt idx="3">
                  <c:v>318.24790384615369</c:v>
                </c:pt>
              </c:numCache>
            </c:numRef>
          </c:val>
          <c:extLst>
            <c:ext xmlns:c16="http://schemas.microsoft.com/office/drawing/2014/chart" uri="{C3380CC4-5D6E-409C-BE32-E72D297353CC}">
              <c16:uniqueId val="{00000001-8DED-4F8A-8984-DCD4970B1A74}"/>
            </c:ext>
          </c:extLst>
        </c:ser>
        <c:dLbls>
          <c:showLegendKey val="0"/>
          <c:showVal val="0"/>
          <c:showCatName val="0"/>
          <c:showSerName val="0"/>
          <c:showPercent val="0"/>
          <c:showBubbleSize val="0"/>
        </c:dLbls>
        <c:gapWidth val="150"/>
        <c:shape val="box"/>
        <c:axId val="281848399"/>
        <c:axId val="239338127"/>
        <c:axId val="0"/>
      </c:bar3DChart>
      <c:catAx>
        <c:axId val="28184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338127"/>
        <c:crosses val="autoZero"/>
        <c:auto val="1"/>
        <c:lblAlgn val="ctr"/>
        <c:lblOffset val="100"/>
        <c:noMultiLvlLbl val="0"/>
      </c:catAx>
      <c:valAx>
        <c:axId val="239338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848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Order Status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Charts!$B$42</c:f>
              <c:strCache>
                <c:ptCount val="1"/>
                <c:pt idx="0">
                  <c:v>Count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Charts!$A$43:$A$46</c:f>
              <c:strCache>
                <c:ptCount val="4"/>
                <c:pt idx="0">
                  <c:v>Delivered</c:v>
                </c:pt>
                <c:pt idx="1">
                  <c:v>Shipped</c:v>
                </c:pt>
                <c:pt idx="2">
                  <c:v>Processing</c:v>
                </c:pt>
                <c:pt idx="3">
                  <c:v>Returned</c:v>
                </c:pt>
              </c:strCache>
            </c:strRef>
          </c:cat>
          <c:val>
            <c:numRef>
              <c:f>Charts!$B$43:$B$46</c:f>
              <c:numCache>
                <c:formatCode>General</c:formatCode>
                <c:ptCount val="4"/>
                <c:pt idx="0">
                  <c:v>63</c:v>
                </c:pt>
                <c:pt idx="1">
                  <c:v>9</c:v>
                </c:pt>
                <c:pt idx="2">
                  <c:v>16</c:v>
                </c:pt>
                <c:pt idx="3">
                  <c:v>14</c:v>
                </c:pt>
              </c:numCache>
            </c:numRef>
          </c:val>
          <c:extLst>
            <c:ext xmlns:c16="http://schemas.microsoft.com/office/drawing/2014/chart" uri="{C3380CC4-5D6E-409C-BE32-E72D297353CC}">
              <c16:uniqueId val="{00000000-20F3-4359-8FC0-9C23AF1178F2}"/>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160021</xdr:colOff>
      <xdr:row>22</xdr:row>
      <xdr:rowOff>9525</xdr:rowOff>
    </xdr:from>
    <xdr:to>
      <xdr:col>14</xdr:col>
      <xdr:colOff>502921</xdr:colOff>
      <xdr:row>46</xdr:row>
      <xdr:rowOff>47625</xdr:rowOff>
    </xdr:to>
    <xdr:graphicFrame macro="">
      <xdr:nvGraphicFramePr>
        <xdr:cNvPr id="2" name="Chart 1">
          <a:extLst>
            <a:ext uri="{FF2B5EF4-FFF2-40B4-BE49-F238E27FC236}">
              <a16:creationId xmlns:a16="http://schemas.microsoft.com/office/drawing/2014/main" id="{300EAA5A-C1E1-57E6-2DD0-323B3AFA2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274319</xdr:colOff>
      <xdr:row>18</xdr:row>
      <xdr:rowOff>28574</xdr:rowOff>
    </xdr:from>
    <xdr:to>
      <xdr:col>24</xdr:col>
      <xdr:colOff>333374</xdr:colOff>
      <xdr:row>39</xdr:row>
      <xdr:rowOff>76200</xdr:rowOff>
    </xdr:to>
    <xdr:graphicFrame macro="">
      <xdr:nvGraphicFramePr>
        <xdr:cNvPr id="2" name="Chart 1">
          <a:extLst>
            <a:ext uri="{FF2B5EF4-FFF2-40B4-BE49-F238E27FC236}">
              <a16:creationId xmlns:a16="http://schemas.microsoft.com/office/drawing/2014/main" id="{EFE1D530-8689-62F9-DC69-1F4C9D5BEF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264795</xdr:colOff>
      <xdr:row>3</xdr:row>
      <xdr:rowOff>100965</xdr:rowOff>
    </xdr:from>
    <xdr:to>
      <xdr:col>21</xdr:col>
      <xdr:colOff>244672</xdr:colOff>
      <xdr:row>16</xdr:row>
      <xdr:rowOff>64770</xdr:rowOff>
    </xdr:to>
    <mc:AlternateContent xmlns:mc="http://schemas.openxmlformats.org/markup-compatibility/2006">
      <mc:Choice xmlns:a14="http://schemas.microsoft.com/office/drawing/2010/main" Requires="a14">
        <xdr:graphicFrame macro="">
          <xdr:nvGraphicFramePr>
            <xdr:cNvPr id="3" name="Status">
              <a:extLst>
                <a:ext uri="{FF2B5EF4-FFF2-40B4-BE49-F238E27FC236}">
                  <a16:creationId xmlns:a16="http://schemas.microsoft.com/office/drawing/2014/main" id="{6C8983B5-A831-613E-E2E2-2C3CDDCFAAA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4215745" y="680748"/>
              <a:ext cx="1779688" cy="247619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176212</xdr:colOff>
      <xdr:row>5</xdr:row>
      <xdr:rowOff>0</xdr:rowOff>
    </xdr:from>
    <xdr:to>
      <xdr:col>16</xdr:col>
      <xdr:colOff>100012</xdr:colOff>
      <xdr:row>19</xdr:row>
      <xdr:rowOff>66675</xdr:rowOff>
    </xdr:to>
    <xdr:graphicFrame macro="">
      <xdr:nvGraphicFramePr>
        <xdr:cNvPr id="3" name="Chart 2">
          <a:extLst>
            <a:ext uri="{FF2B5EF4-FFF2-40B4-BE49-F238E27FC236}">
              <a16:creationId xmlns:a16="http://schemas.microsoft.com/office/drawing/2014/main" id="{FBF44C2A-2EDF-8F4F-62F3-0E04BD7B9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461962</xdr:colOff>
      <xdr:row>20</xdr:row>
      <xdr:rowOff>19050</xdr:rowOff>
    </xdr:from>
    <xdr:to>
      <xdr:col>12</xdr:col>
      <xdr:colOff>309562</xdr:colOff>
      <xdr:row>34</xdr:row>
      <xdr:rowOff>76200</xdr:rowOff>
    </xdr:to>
    <xdr:graphicFrame macro="">
      <xdr:nvGraphicFramePr>
        <xdr:cNvPr id="4" name="Chart 3">
          <a:extLst>
            <a:ext uri="{FF2B5EF4-FFF2-40B4-BE49-F238E27FC236}">
              <a16:creationId xmlns:a16="http://schemas.microsoft.com/office/drawing/2014/main" id="{0D711DB8-FC11-5C32-63C6-B4E964C05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457200</xdr:colOff>
      <xdr:row>35</xdr:row>
      <xdr:rowOff>33337</xdr:rowOff>
    </xdr:from>
    <xdr:to>
      <xdr:col>12</xdr:col>
      <xdr:colOff>304800</xdr:colOff>
      <xdr:row>49</xdr:row>
      <xdr:rowOff>100012</xdr:rowOff>
    </xdr:to>
    <xdr:graphicFrame macro="">
      <xdr:nvGraphicFramePr>
        <xdr:cNvPr id="5" name="Chart 4">
          <a:extLst>
            <a:ext uri="{FF2B5EF4-FFF2-40B4-BE49-F238E27FC236}">
              <a16:creationId xmlns:a16="http://schemas.microsoft.com/office/drawing/2014/main" id="{104E6EF7-00E0-004F-03BE-EFF3BE42E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428625</xdr:colOff>
      <xdr:row>50</xdr:row>
      <xdr:rowOff>71437</xdr:rowOff>
    </xdr:from>
    <xdr:to>
      <xdr:col>12</xdr:col>
      <xdr:colOff>276225</xdr:colOff>
      <xdr:row>64</xdr:row>
      <xdr:rowOff>147637</xdr:rowOff>
    </xdr:to>
    <xdr:graphicFrame macro="">
      <xdr:nvGraphicFramePr>
        <xdr:cNvPr id="6" name="Chart 5">
          <a:extLst>
            <a:ext uri="{FF2B5EF4-FFF2-40B4-BE49-F238E27FC236}">
              <a16:creationId xmlns:a16="http://schemas.microsoft.com/office/drawing/2014/main" id="{62DC3185-1F79-6654-A77D-8DA0D0FD8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as khalid" refreshedDate="46063.841912847223" createdVersion="8" refreshedVersion="8" minRefreshableVersion="3" recordCount="102" xr:uid="{E00729ED-EF97-4FC5-86D3-32F144D3F94C}">
  <cacheSource type="worksheet">
    <worksheetSource name="Table2"/>
  </cacheSource>
  <cacheFields count="17">
    <cacheField name="Order ID" numFmtId="0">
      <sharedItems/>
    </cacheField>
    <cacheField name="Order Date" numFmtId="164">
      <sharedItems containsSemiMixedTypes="0" containsNonDate="0" containsDate="1" containsString="0" minDate="2025-01-02T00:00:00" maxDate="2025-12-29T00:00:00"/>
    </cacheField>
    <cacheField name="Customer Name" numFmtId="0">
      <sharedItems/>
    </cacheField>
    <cacheField name="Email" numFmtId="0">
      <sharedItems/>
    </cacheField>
    <cacheField name="City" numFmtId="0">
      <sharedItems/>
    </cacheField>
    <cacheField name="State" numFmtId="0">
      <sharedItems count="5">
        <s v="QLD"/>
        <s v="WA"/>
        <s v="NSW"/>
        <s v="SA"/>
        <s v="VIC"/>
      </sharedItems>
    </cacheField>
    <cacheField name="Product" numFmtId="0">
      <sharedItems count="15">
        <s v="Desk Lamp"/>
        <s v="Bookshelf"/>
        <s v="Webcam HD"/>
        <s v="Desk Chair"/>
        <s v="Laptop"/>
        <s v="Whiteboard"/>
        <s v="USB-C Hub"/>
        <s v="Pen Set"/>
        <s v="Headphones"/>
        <s v="Printer Paper"/>
        <s v="Standing Desk"/>
        <s v="Notebook Pack"/>
        <s v="Monitor 27&quot;"/>
        <s v="Keyboard"/>
        <s v="Wireless Mouse"/>
      </sharedItems>
    </cacheField>
    <cacheField name="Category" numFmtId="0">
      <sharedItems count="3">
        <s v="Furniture"/>
        <s v="Electronics"/>
        <s v="Office Supplies"/>
      </sharedItems>
    </cacheField>
    <cacheField name="Unit Price ($)" numFmtId="44">
      <sharedItems containsSemiMixedTypes="0" containsString="0" containsNumber="1" minValue="8.99" maxValue="899.99"/>
    </cacheField>
    <cacheField name="Quantity" numFmtId="0">
      <sharedItems containsSemiMixedTypes="0" containsString="0" containsNumber="1" containsInteger="1" minValue="1" maxValue="5"/>
    </cacheField>
    <cacheField name="Discount %" numFmtId="9">
      <sharedItems containsSemiMixedTypes="0" containsString="0" containsNumber="1" minValue="0" maxValue="0.2"/>
    </cacheField>
    <cacheField name="Total Before Discount ($)" numFmtId="44">
      <sharedItems containsSemiMixedTypes="0" containsString="0" containsNumber="1" minValue="8.99" maxValue="4499.95"/>
    </cacheField>
    <cacheField name="Discount Amount ($)" numFmtId="44">
      <sharedItems containsSemiMixedTypes="0" containsString="0" containsNumber="1" minValue="0" maxValue="674.99249999999995"/>
    </cacheField>
    <cacheField name="Final Amount ($)" numFmtId="44">
      <sharedItems containsString="0" containsBlank="1" containsNumber="1" minValue="8.0910000000000011" maxValue="4499.95"/>
    </cacheField>
    <cacheField name="Status" numFmtId="0">
      <sharedItems count="4">
        <s v="Delivered"/>
        <s v="Returned"/>
        <s v="Processing"/>
        <s v="Shipped"/>
      </sharedItems>
    </cacheField>
    <cacheField name="Sales Rep" numFmtId="0">
      <sharedItems/>
    </cacheField>
    <cacheField name="Payment Method" numFmtId="0">
      <sharedItems/>
    </cacheField>
  </cacheFields>
  <extLst>
    <ext xmlns:x14="http://schemas.microsoft.com/office/spreadsheetml/2009/9/main" uri="{725AE2AE-9491-48be-B2B4-4EB974FC3084}">
      <x14:pivotCacheDefinition pivotCacheId="12417296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Le" refreshedDate="46066.834756365737" backgroundQuery="1" createdVersion="8" refreshedVersion="8" minRefreshableVersion="3" recordCount="0" supportSubquery="1" supportAdvancedDrill="1" xr:uid="{366C1BE6-FF3A-4A2E-9A5D-6F8B026407F3}">
  <cacheSource type="external" connectionId="6"/>
  <cacheFields count="3">
    <cacheField name="[Table2].[State].[State]" caption="State" numFmtId="0" hierarchy="5" level="1">
      <sharedItems count="5">
        <s v="NSW"/>
        <s v="QLD"/>
        <s v="SA"/>
        <s v="VIC"/>
        <s v="WA"/>
      </sharedItems>
    </cacheField>
    <cacheField name="[Table2].[Category].[Category]" caption="Category" numFmtId="0" hierarchy="7" level="1">
      <sharedItems count="3">
        <s v="Electronics"/>
        <s v="Furniture"/>
        <s v="Office Supplies"/>
      </sharedItems>
    </cacheField>
    <cacheField name="[Measures].[Sum of Final Amount ($)]" caption="Sum of Final Amount ($)" numFmtId="0" hierarchy="21" level="32767"/>
  </cacheFields>
  <cacheHierarchies count="23">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fieldsUsage count="2">
        <fieldUsage x="-1"/>
        <fieldUsage x="0"/>
      </fieldsUsage>
    </cacheHierarchy>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2].[Unit Price ($)]" caption="Unit Price ($)" attribute="1" defaultMemberUniqueName="[Table2].[Unit Price ($)].[All]" allUniqueName="[Table2].[Unit Price ($)].[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 caption="Discount %" attribute="1" defaultMemberUniqueName="[Table2].[Discount %].[All]" allUniqueName="[Table2].[Discount %].[All]" dimensionUniqueName="[Table2]" displayFolder="" count="0" memberValueDatatype="5" unbalanced="0"/>
    <cacheHierarchy uniqueName="[Table2].[Total Before Discount ($)]" caption="Total Before Discount ($)" attribute="1" defaultMemberUniqueName="[Table2].[Total Before Discount ($)].[All]" allUniqueName="[Table2].[Total Before Discount ($)].[All]" dimensionUniqueName="[Table2]" displayFolder="" count="0" memberValueDatatype="5" unbalanced="0"/>
    <cacheHierarchy uniqueName="[Table2].[Discount Amount ($)]" caption="Discount Amount ($)" attribute="1" defaultMemberUniqueName="[Table2].[Discount Amount ($)].[All]" allUniqueName="[Table2].[Discount Amount ($)].[All]" dimensionUniqueName="[Table2]" displayFolder="" count="0" memberValueDatatype="5" unbalanced="0"/>
    <cacheHierarchy uniqueName="[Table2].[Final Amount ($)]" caption="Final Amount ($)" attribute="1" defaultMemberUniqueName="[Table2].[Final Amount ($)].[All]" allUniqueName="[Table2].[Final Amount ($)].[All]" dimensionUniqueName="[Table2]" displayFolder="" count="0" memberValueDatatype="5" unbalanced="0"/>
    <cacheHierarchy uniqueName="[Table2].[Status]" caption="Status" attribute="1" defaultMemberUniqueName="[Table2].[Status].[All]" allUniqueName="[Table2].[Status].[All]" dimensionUniqueName="[Table2]" displayFolder="" count="0" memberValueDatatype="130" unbalanced="0"/>
    <cacheHierarchy uniqueName="[Table2].[Sales Rep]" caption="Sales Rep" attribute="1" defaultMemberUniqueName="[Table2].[Sales Rep].[All]" allUniqueName="[Table2].[Sales Rep].[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Final Amount ($)]" caption="Sum of Final Amount ($)" measure="1" displayFolder="" measureGroup="Table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Le" refreshedDate="46066.834757291668" backgroundQuery="1" createdVersion="8" refreshedVersion="8" minRefreshableVersion="3" recordCount="0" supportSubquery="1" supportAdvancedDrill="1" xr:uid="{8547BA4C-0EC1-4B80-9632-8C05DE7E5238}">
  <cacheSource type="external" connectionId="6"/>
  <cacheFields count="2">
    <cacheField name="[Table2].[Category].[Category]" caption="Category" numFmtId="0" hierarchy="7" level="1">
      <sharedItems count="3">
        <s v="Electronics"/>
        <s v="Furniture"/>
        <s v="Office Supplies"/>
      </sharedItems>
    </cacheField>
    <cacheField name="[Measures].[Sum of Final Amount ($)]" caption="Sum of Final Amount ($)" numFmtId="0" hierarchy="21" level="32767"/>
  </cacheFields>
  <cacheHierarchies count="23">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Unit Price ($)]" caption="Unit Price ($)" attribute="1" defaultMemberUniqueName="[Table2].[Unit Price ($)].[All]" allUniqueName="[Table2].[Unit Price ($)].[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 caption="Discount %" attribute="1" defaultMemberUniqueName="[Table2].[Discount %].[All]" allUniqueName="[Table2].[Discount %].[All]" dimensionUniqueName="[Table2]" displayFolder="" count="0" memberValueDatatype="5" unbalanced="0"/>
    <cacheHierarchy uniqueName="[Table2].[Total Before Discount ($)]" caption="Total Before Discount ($)" attribute="1" defaultMemberUniqueName="[Table2].[Total Before Discount ($)].[All]" allUniqueName="[Table2].[Total Before Discount ($)].[All]" dimensionUniqueName="[Table2]" displayFolder="" count="0" memberValueDatatype="5" unbalanced="0"/>
    <cacheHierarchy uniqueName="[Table2].[Discount Amount ($)]" caption="Discount Amount ($)" attribute="1" defaultMemberUniqueName="[Table2].[Discount Amount ($)].[All]" allUniqueName="[Table2].[Discount Amount ($)].[All]" dimensionUniqueName="[Table2]" displayFolder="" count="0" memberValueDatatype="5" unbalanced="0"/>
    <cacheHierarchy uniqueName="[Table2].[Final Amount ($)]" caption="Final Amount ($)" attribute="1" defaultMemberUniqueName="[Table2].[Final Amount ($)].[All]" allUniqueName="[Table2].[Final Amount ($)].[All]" dimensionUniqueName="[Table2]" displayFolder="" count="0" memberValueDatatype="5" unbalanced="0"/>
    <cacheHierarchy uniqueName="[Table2].[Status]" caption="Status" attribute="1" defaultMemberUniqueName="[Table2].[Status].[All]" allUniqueName="[Table2].[Status].[All]" dimensionUniqueName="[Table2]" displayFolder="" count="0" memberValueDatatype="130" unbalanced="0"/>
    <cacheHierarchy uniqueName="[Table2].[Sales Rep]" caption="Sales Rep" attribute="1" defaultMemberUniqueName="[Table2].[Sales Rep].[All]" allUniqueName="[Table2].[Sales Rep].[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Final Amount ($)]" caption="Sum of Final Amount ($)"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Le" refreshedDate="46066.835016203702" backgroundQuery="1" createdVersion="8" refreshedVersion="8" minRefreshableVersion="3" recordCount="0" supportSubquery="1" supportAdvancedDrill="1" xr:uid="{5B87B8CB-BCF6-46A6-AE4F-7874A2FE931A}">
  <cacheSource type="external" connectionId="6"/>
  <cacheFields count="2">
    <cacheField name="[Table2].[Order Date].[Order Date]" caption="Order Date" numFmtId="0" hierarchy="1" level="1">
      <sharedItems containsSemiMixedTypes="0" containsNonDate="0" containsDate="1" containsString="0" minDate="2025-01-02T00:00:00" maxDate="2025-12-29T00:00:00" count="89">
        <d v="2025-01-02T00:00:00"/>
        <d v="2025-01-08T00:00:00"/>
        <d v="2025-01-17T00:00:00"/>
        <d v="2025-01-22T00:00:00"/>
        <d v="2025-01-24T00:00:00"/>
        <d v="2025-02-02T00:00:00"/>
        <d v="2025-02-07T00:00:00"/>
        <d v="2025-02-12T00:00:00"/>
        <d v="2025-02-13T00:00:00"/>
        <d v="2025-02-15T00:00:00"/>
        <d v="2025-02-16T00:00:00"/>
        <d v="2025-02-19T00:00:00"/>
        <d v="2025-02-21T00:00:00"/>
        <d v="2025-02-23T00:00:00"/>
        <d v="2025-02-26T00:00:00"/>
        <d v="2025-02-28T00:00:00"/>
        <d v="2025-03-02T00:00:00"/>
        <d v="2025-03-07T00:00:00"/>
        <d v="2025-03-08T00:00:00"/>
        <d v="2025-03-09T00:00:00"/>
        <d v="2025-03-14T00:00:00"/>
        <d v="2025-03-18T00:00:00"/>
        <d v="2025-03-19T00:00:00"/>
        <d v="2025-03-21T00:00:00"/>
        <d v="2025-03-24T00:00:00"/>
        <d v="2025-03-26T00:00:00"/>
        <d v="2025-04-03T00:00:00"/>
        <d v="2025-04-06T00:00:00"/>
        <d v="2025-04-10T00:00:00"/>
        <d v="2025-04-15T00:00:00"/>
        <d v="2025-04-23T00:00:00"/>
        <d v="2025-04-26T00:00:00"/>
        <d v="2025-04-27T00:00:00"/>
        <d v="2025-05-05T00:00:00"/>
        <d v="2025-05-08T00:00:00"/>
        <d v="2025-05-11T00:00:00"/>
        <d v="2025-05-13T00:00:00"/>
        <d v="2025-05-25T00:00:00"/>
        <d v="2025-06-03T00:00:00"/>
        <d v="2025-06-06T00:00:00"/>
        <d v="2025-06-14T00:00:00"/>
        <d v="2025-06-21T00:00:00"/>
        <d v="2025-06-25T00:00:00"/>
        <d v="2025-07-03T00:00:00"/>
        <d v="2025-07-06T00:00:00"/>
        <d v="2025-07-08T00:00:00"/>
        <d v="2025-07-09T00:00:00"/>
        <d v="2025-07-12T00:00:00"/>
        <d v="2025-07-16T00:00:00"/>
        <d v="2025-07-20T00:00:00"/>
        <d v="2025-07-22T00:00:00"/>
        <d v="2025-07-24T00:00:00"/>
        <d v="2025-08-01T00:00:00"/>
        <d v="2025-08-05T00:00:00"/>
        <d v="2025-08-07T00:00:00"/>
        <d v="2025-08-14T00:00:00"/>
        <d v="2025-08-20T00:00:00"/>
        <d v="2025-08-21T00:00:00"/>
        <d v="2025-08-26T00:00:00"/>
        <d v="2025-09-03T00:00:00"/>
        <d v="2025-09-04T00:00:00"/>
        <d v="2025-09-06T00:00:00"/>
        <d v="2025-09-08T00:00:00"/>
        <d v="2025-09-10T00:00:00"/>
        <d v="2025-09-17T00:00:00"/>
        <d v="2025-09-21T00:00:00"/>
        <d v="2025-09-25T00:00:00"/>
        <d v="2025-10-10T00:00:00"/>
        <d v="2025-10-15T00:00:00"/>
        <d v="2025-10-16T00:00:00"/>
        <d v="2025-10-18T00:00:00"/>
        <d v="2025-10-20T00:00:00"/>
        <d v="2025-10-22T00:00:00"/>
        <d v="2025-10-23T00:00:00"/>
        <d v="2025-10-27T00:00:00"/>
        <d v="2025-11-02T00:00:00"/>
        <d v="2025-11-04T00:00:00"/>
        <d v="2025-11-09T00:00:00"/>
        <d v="2025-11-14T00:00:00"/>
        <d v="2025-11-19T00:00:00"/>
        <d v="2025-11-21T00:00:00"/>
        <d v="2025-11-24T00:00:00"/>
        <d v="2025-12-05T00:00:00"/>
        <d v="2025-12-08T00:00:00"/>
        <d v="2025-12-10T00:00:00"/>
        <d v="2025-12-14T00:00:00"/>
        <d v="2025-12-16T00:00:00"/>
        <d v="2025-12-24T00:00:00"/>
        <d v="2025-12-28T00:00:00"/>
      </sharedItems>
    </cacheField>
    <cacheField name="[Measures].[Sum of Final Amount ($)]" caption="Sum of Final Amount ($)" numFmtId="0" hierarchy="21" level="32767"/>
  </cacheFields>
  <cacheHierarchies count="23">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2" memberValueDatatype="7" unbalanced="0">
      <fieldsUsage count="2">
        <fieldUsage x="-1"/>
        <fieldUsage x="0"/>
      </fieldsUsage>
    </cacheHierarchy>
    <cacheHierarchy uniqueName="[Table2].[Customer Name]" caption="Customer Name" attribute="1" defaultMemberUniqueName="[Table2].[Customer Name].[All]" allUniqueName="[Table2].[Customer 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 caption="Unit Price ($)" attribute="1" defaultMemberUniqueName="[Table2].[Unit Price ($)].[All]" allUniqueName="[Table2].[Unit Price ($)].[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 caption="Discount %" attribute="1" defaultMemberUniqueName="[Table2].[Discount %].[All]" allUniqueName="[Table2].[Discount %].[All]" dimensionUniqueName="[Table2]" displayFolder="" count="0" memberValueDatatype="5" unbalanced="0"/>
    <cacheHierarchy uniqueName="[Table2].[Total Before Discount ($)]" caption="Total Before Discount ($)" attribute="1" defaultMemberUniqueName="[Table2].[Total Before Discount ($)].[All]" allUniqueName="[Table2].[Total Before Discount ($)].[All]" dimensionUniqueName="[Table2]" displayFolder="" count="0" memberValueDatatype="5" unbalanced="0"/>
    <cacheHierarchy uniqueName="[Table2].[Discount Amount ($)]" caption="Discount Amount ($)" attribute="1" defaultMemberUniqueName="[Table2].[Discount Amount ($)].[All]" allUniqueName="[Table2].[Discount Amount ($)].[All]" dimensionUniqueName="[Table2]" displayFolder="" count="0" memberValueDatatype="5" unbalanced="0"/>
    <cacheHierarchy uniqueName="[Table2].[Final Amount ($)]" caption="Final Amount ($)" attribute="1" defaultMemberUniqueName="[Table2].[Final Amount ($)].[All]" allUniqueName="[Table2].[Final Amount ($)].[All]" dimensionUniqueName="[Table2]" displayFolder="" count="0" memberValueDatatype="5" unbalanced="0"/>
    <cacheHierarchy uniqueName="[Table2].[Status]" caption="Status" attribute="1" defaultMemberUniqueName="[Table2].[Status].[All]" allUniqueName="[Table2].[Status].[All]" dimensionUniqueName="[Table2]" displayFolder="" count="0" memberValueDatatype="130" unbalanced="0"/>
    <cacheHierarchy uniqueName="[Table2].[Sales Rep]" caption="Sales Rep" attribute="1" defaultMemberUniqueName="[Table2].[Sales Rep].[All]" allUniqueName="[Table2].[Sales Rep].[All]" dimensionUniqueName="[Table2]" displayFolder="" count="0" memberValueDatatype="130"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Final Amount ($)]" caption="Sum of Final Amount ($)"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2"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chael Le" refreshedDate="46066.858987731481" backgroundQuery="1" createdVersion="8" refreshedVersion="8" minRefreshableVersion="3" recordCount="0" supportSubquery="1" supportAdvancedDrill="1" xr:uid="{5B9A3EB0-3546-4278-951E-C32AEADED2D5}">
  <cacheSource type="external" connectionId="6"/>
  <cacheFields count="3">
    <cacheField name="[Table2].[Sales Rep].[Sales Rep]" caption="Sales Rep" numFmtId="0" hierarchy="15" level="1">
      <sharedItems count="4">
        <s v="Alice Morgan"/>
        <s v="Bob Smith"/>
        <s v="Carol Davis"/>
        <s v="Dan Wilson"/>
      </sharedItems>
    </cacheField>
    <cacheField name="[Measures].[Count of Order ID]" caption="Count of Order ID" numFmtId="0" hierarchy="22" level="32767"/>
    <cacheField name="[Measures].[Sum of Final Amount ($)]" caption="Sum of Final Amount ($)" numFmtId="0" hierarchy="21" level="32767"/>
  </cacheFields>
  <cacheHierarchies count="23">
    <cacheHierarchy uniqueName="[Table2].[Order ID]" caption="Order ID" attribute="1" defaultMemberUniqueName="[Table2].[Order ID].[All]" allUniqueName="[Table2].[Order ID].[All]" dimensionUniqueName="[Table2]" displayFolder="" count="0" memberValueDatatype="130" unbalanced="0"/>
    <cacheHierarchy uniqueName="[Table2].[Order Date]" caption="Order Date" attribute="1" time="1" defaultMemberUniqueName="[Table2].[Order Date].[All]" allUniqueName="[Table2].[Order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Email]" caption="Email" attribute="1" defaultMemberUniqueName="[Table2].[Email].[All]" allUniqueName="[Table2].[Email].[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roduct]" caption="Product" attribute="1" defaultMemberUniqueName="[Table2].[Product].[All]" allUniqueName="[Table2].[Product].[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Unit Price ($)]" caption="Unit Price ($)" attribute="1" defaultMemberUniqueName="[Table2].[Unit Price ($)].[All]" allUniqueName="[Table2].[Unit Price ($)].[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 caption="Discount %" attribute="1" defaultMemberUniqueName="[Table2].[Discount %].[All]" allUniqueName="[Table2].[Discount %].[All]" dimensionUniqueName="[Table2]" displayFolder="" count="0" memberValueDatatype="5" unbalanced="0"/>
    <cacheHierarchy uniqueName="[Table2].[Total Before Discount ($)]" caption="Total Before Discount ($)" attribute="1" defaultMemberUniqueName="[Table2].[Total Before Discount ($)].[All]" allUniqueName="[Table2].[Total Before Discount ($)].[All]" dimensionUniqueName="[Table2]" displayFolder="" count="0" memberValueDatatype="5" unbalanced="0"/>
    <cacheHierarchy uniqueName="[Table2].[Discount Amount ($)]" caption="Discount Amount ($)" attribute="1" defaultMemberUniqueName="[Table2].[Discount Amount ($)].[All]" allUniqueName="[Table2].[Discount Amount ($)].[All]" dimensionUniqueName="[Table2]" displayFolder="" count="0" memberValueDatatype="5" unbalanced="0"/>
    <cacheHierarchy uniqueName="[Table2].[Final Amount ($)]" caption="Final Amount ($)" attribute="1" defaultMemberUniqueName="[Table2].[Final Amount ($)].[All]" allUniqueName="[Table2].[Final Amount ($)].[All]" dimensionUniqueName="[Table2]" displayFolder="" count="0" memberValueDatatype="5" unbalanced="0"/>
    <cacheHierarchy uniqueName="[Table2].[Status]" caption="Status" attribute="1" defaultMemberUniqueName="[Table2].[Status].[All]" allUniqueName="[Table2].[Status].[All]" dimensionUniqueName="[Table2]" displayFolder="" count="0" memberValueDatatype="130" unbalanced="0"/>
    <cacheHierarchy uniqueName="[Table2].[Sales Rep]" caption="Sales Rep" attribute="1" defaultMemberUniqueName="[Table2].[Sales Rep].[All]" allUniqueName="[Table2].[Sales Rep].[All]" dimensionUniqueName="[Table2]" displayFolder="" count="2" memberValueDatatype="130" unbalanced="0">
      <fieldsUsage count="2">
        <fieldUsage x="-1"/>
        <fieldUsage x="0"/>
      </fieldsUsage>
    </cacheHierarchy>
    <cacheHierarchy uniqueName="[Table2].[Payment Method]" caption="Payment Method" attribute="1" defaultMemberUniqueName="[Table2].[Payment Method].[All]" allUniqueName="[Table2].[Payment Method].[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Final Amount ($)]" caption="Sum of Final Amount ($)" measure="1" displayFolder="" measureGroup="Table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Order ID]" caption="Count of Order 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ORD-1073"/>
    <d v="2025-12-28T00:00:00"/>
    <s v="David Kim"/>
    <s v="david@email.com"/>
    <s v="Brisbane"/>
    <x v="0"/>
    <x v="0"/>
    <x v="0"/>
    <n v="39.99"/>
    <n v="3"/>
    <n v="0.2"/>
    <n v="119.97"/>
    <n v="23.994"/>
    <n v="95.975999999999999"/>
    <x v="0"/>
    <s v="Carol Davis"/>
    <s v="Credit Card"/>
  </r>
  <r>
    <s v="ORD-1073"/>
    <d v="2025-12-28T00:00:00"/>
    <s v="David Kim"/>
    <s v="david@email.com"/>
    <s v="Brisbane"/>
    <x v="0"/>
    <x v="0"/>
    <x v="0"/>
    <n v="39.99"/>
    <n v="3"/>
    <n v="0.2"/>
    <n v="119.97"/>
    <n v="23.994"/>
    <n v="95.975999999999999"/>
    <x v="0"/>
    <s v="Carol Davis"/>
    <s v="Credit Card"/>
  </r>
  <r>
    <s v="ORD-1073"/>
    <d v="2025-12-28T00:00:00"/>
    <s v="David Kim"/>
    <s v="david@email.com"/>
    <s v="Brisbane"/>
    <x v="0"/>
    <x v="0"/>
    <x v="0"/>
    <n v="39.99"/>
    <n v="3"/>
    <n v="0.2"/>
    <n v="119.97"/>
    <n v="23.994"/>
    <m/>
    <x v="0"/>
    <s v="Carol Davis"/>
    <s v="Credit Card"/>
  </r>
  <r>
    <s v="ORD-1079"/>
    <d v="2025-12-24T00:00:00"/>
    <s v="Chris Taylor"/>
    <s v="chris@email.com"/>
    <s v="Perth"/>
    <x v="1"/>
    <x v="1"/>
    <x v="0"/>
    <n v="149.99"/>
    <n v="2"/>
    <n v="0.05"/>
    <n v="299.98"/>
    <n v="14.999000000000002"/>
    <n v="284.98099999999999"/>
    <x v="0"/>
    <s v="Carol Davis"/>
    <s v="Credit Card"/>
  </r>
  <r>
    <s v="ORD-1012"/>
    <d v="2025-01-08T00:00:00"/>
    <s v="Sarah Johnson"/>
    <s v="sydney@email.com"/>
    <s v="Sydney"/>
    <x v="2"/>
    <x v="2"/>
    <x v="1"/>
    <n v="69.989999999999995"/>
    <n v="3"/>
    <n v="0.05"/>
    <n v="209.96999999999997"/>
    <n v="10.4985"/>
    <n v="199.47149999999996"/>
    <x v="0"/>
    <s v="Alice Morgan"/>
    <s v="PayPal"/>
  </r>
  <r>
    <s v="ORD-1005"/>
    <d v="2025-12-14T00:00:00"/>
    <s v="Priya Patel"/>
    <s v="priya@email.com"/>
    <s v="Adelaide"/>
    <x v="3"/>
    <x v="3"/>
    <x v="0"/>
    <n v="299.99"/>
    <n v="2"/>
    <n v="0"/>
    <n v="599.98"/>
    <n v="0"/>
    <n v="599.98"/>
    <x v="1"/>
    <s v="Carol Davis"/>
    <s v="Credit Card"/>
  </r>
  <r>
    <s v="ORD-1059"/>
    <d v="2025-12-14T00:00:00"/>
    <s v="Anna Garcia"/>
    <s v="anna@email.com"/>
    <s v="Sydney"/>
    <x v="2"/>
    <x v="4"/>
    <x v="1"/>
    <n v="899.99"/>
    <n v="5"/>
    <n v="0.15"/>
    <n v="4499.95"/>
    <n v="674.99249999999995"/>
    <n v="3824.9575"/>
    <x v="2"/>
    <s v="Bob Smith"/>
    <s v="Bank Transfer"/>
  </r>
  <r>
    <s v="ORD-1044"/>
    <d v="2025-12-10T00:00:00"/>
    <s v="Sophie Martin"/>
    <s v="sophie@email.com"/>
    <s v="Melbourne"/>
    <x v="4"/>
    <x v="5"/>
    <x v="2"/>
    <n v="59.99"/>
    <n v="5"/>
    <n v="0"/>
    <n v="299.95"/>
    <n v="0"/>
    <n v="299.95"/>
    <x v="2"/>
    <s v="Carol Davis"/>
    <s v="Credit Card"/>
  </r>
  <r>
    <s v="ORD-1011"/>
    <d v="2025-12-08T00:00:00"/>
    <s v="David Kim"/>
    <s v="david@email.com"/>
    <s v="Brisbane"/>
    <x v="0"/>
    <x v="6"/>
    <x v="1"/>
    <n v="49.99"/>
    <n v="4"/>
    <n v="0"/>
    <n v="199.96"/>
    <n v="0"/>
    <n v="199.96"/>
    <x v="2"/>
    <s v="Bob Smith"/>
    <s v="Bank Transfer"/>
  </r>
  <r>
    <s v="ORD-1049"/>
    <d v="2025-12-05T00:00:00"/>
    <s v="Sarah Johnson"/>
    <s v="sydney@email.com"/>
    <s v="Sydney"/>
    <x v="2"/>
    <x v="1"/>
    <x v="0"/>
    <n v="149.99"/>
    <n v="3"/>
    <n v="0.1"/>
    <n v="449.97"/>
    <n v="44.997000000000007"/>
    <n v="404.97300000000001"/>
    <x v="3"/>
    <s v="Bob Smith"/>
    <s v="Credit Card"/>
  </r>
  <r>
    <s v="ORD-1076"/>
    <d v="2025-12-05T00:00:00"/>
    <s v="James Lee"/>
    <s v="james@email.com"/>
    <s v="Perth"/>
    <x v="1"/>
    <x v="7"/>
    <x v="2"/>
    <n v="8.99"/>
    <n v="1"/>
    <n v="0.05"/>
    <n v="8.99"/>
    <n v="0.44950000000000001"/>
    <n v="8.5404999999999998"/>
    <x v="0"/>
    <s v="Carol Davis"/>
    <s v="Credit Card"/>
  </r>
  <r>
    <s v="ORD-1002"/>
    <d v="2025-11-24T00:00:00"/>
    <s v="Anna Garcia"/>
    <s v="anna@email.com"/>
    <s v="Sydney"/>
    <x v="2"/>
    <x v="8"/>
    <x v="1"/>
    <n v="129.99"/>
    <n v="1"/>
    <n v="0.1"/>
    <n v="129.99"/>
    <n v="12.999000000000002"/>
    <n v="116.99100000000001"/>
    <x v="0"/>
    <s v="Alice Morgan"/>
    <s v="Credit Card"/>
  </r>
  <r>
    <s v="ORD-1066"/>
    <d v="2025-11-21T00:00:00"/>
    <s v="Tom Brown"/>
    <s v="tom@email.com"/>
    <s v="Sydney"/>
    <x v="2"/>
    <x v="5"/>
    <x v="2"/>
    <n v="59.99"/>
    <n v="1"/>
    <n v="0.2"/>
    <n v="59.99"/>
    <n v="11.998000000000001"/>
    <n v="47.992000000000004"/>
    <x v="1"/>
    <s v="Bob Smith"/>
    <s v="Bank Transfer"/>
  </r>
  <r>
    <s v="ORD-1040"/>
    <d v="2025-11-19T00:00:00"/>
    <s v="Anna Garcia"/>
    <s v="anna@email.com"/>
    <s v="Sydney"/>
    <x v="2"/>
    <x v="5"/>
    <x v="2"/>
    <n v="59.99"/>
    <n v="3"/>
    <n v="0"/>
    <n v="179.97"/>
    <n v="0"/>
    <n v="179.97"/>
    <x v="0"/>
    <s v="Carol Davis"/>
    <s v="PayPal"/>
  </r>
  <r>
    <s v="ORD-1082"/>
    <d v="2025-11-14T00:00:00"/>
    <s v="David Kim"/>
    <s v="david@email.com"/>
    <s v="Brisbane"/>
    <x v="0"/>
    <x v="6"/>
    <x v="1"/>
    <n v="49.99"/>
    <n v="2"/>
    <n v="0"/>
    <n v="99.98"/>
    <n v="0"/>
    <n v="99.98"/>
    <x v="0"/>
    <s v="Dan Wilson"/>
    <s v="Bank Transfer"/>
  </r>
  <r>
    <s v="ORD-1010"/>
    <d v="2025-11-09T00:00:00"/>
    <s v="Sophie Martin"/>
    <s v="sophie@email.com"/>
    <s v="Melbourne"/>
    <x v="4"/>
    <x v="7"/>
    <x v="2"/>
    <n v="8.99"/>
    <n v="1"/>
    <n v="0.1"/>
    <n v="8.99"/>
    <n v="0.89900000000000002"/>
    <n v="8.0910000000000011"/>
    <x v="2"/>
    <s v="Bob Smith"/>
    <s v="Credit Card"/>
  </r>
  <r>
    <s v="ORD-1001"/>
    <d v="2025-11-04T00:00:00"/>
    <s v="Ryan Nguyen"/>
    <s v="ryan@email.com"/>
    <s v="Adelaide"/>
    <x v="3"/>
    <x v="4"/>
    <x v="1"/>
    <n v="899.99"/>
    <n v="3"/>
    <n v="0"/>
    <n v="2699.9700000000003"/>
    <n v="0"/>
    <n v="2699.9700000000003"/>
    <x v="0"/>
    <s v="Bob Smith"/>
    <s v="Credit Card"/>
  </r>
  <r>
    <s v="ORD-1085"/>
    <d v="2025-11-02T00:00:00"/>
    <s v="Sarah Johnson"/>
    <s v="sydney@email.com"/>
    <s v="Sydney"/>
    <x v="2"/>
    <x v="9"/>
    <x v="2"/>
    <n v="24.99"/>
    <n v="2"/>
    <n v="0"/>
    <n v="49.98"/>
    <n v="0"/>
    <n v="49.98"/>
    <x v="1"/>
    <s v="Alice Morgan"/>
    <s v="Credit Card"/>
  </r>
  <r>
    <s v="ORD-1072"/>
    <d v="2025-10-27T00:00:00"/>
    <s v="Anna Garcia"/>
    <s v="anna@email.com"/>
    <s v="Sydney"/>
    <x v="2"/>
    <x v="7"/>
    <x v="2"/>
    <n v="8.99"/>
    <n v="4"/>
    <n v="0.2"/>
    <n v="35.96"/>
    <n v="7.1920000000000002"/>
    <n v="28.768000000000001"/>
    <x v="3"/>
    <s v="Dan Wilson"/>
    <s v="PayPal"/>
  </r>
  <r>
    <s v="ORD-1013"/>
    <d v="2025-10-23T00:00:00"/>
    <s v="James Lee"/>
    <s v="james@email.com"/>
    <s v="Perth"/>
    <x v="1"/>
    <x v="3"/>
    <x v="0"/>
    <n v="299.99"/>
    <n v="4"/>
    <n v="0.05"/>
    <n v="1199.96"/>
    <n v="59.998000000000005"/>
    <n v="1139.962"/>
    <x v="2"/>
    <s v="Dan Wilson"/>
    <s v="PayPal"/>
  </r>
  <r>
    <s v="ORD-1095"/>
    <d v="2025-10-22T00:00:00"/>
    <s v="Tom Brown"/>
    <s v="tom@email.com"/>
    <s v="Sydney"/>
    <x v="2"/>
    <x v="10"/>
    <x v="0"/>
    <n v="499.99"/>
    <n v="1"/>
    <n v="0.05"/>
    <n v="499.99"/>
    <n v="24.999500000000001"/>
    <n v="474.9905"/>
    <x v="1"/>
    <s v="Carol Davis"/>
    <s v="PayPal"/>
  </r>
  <r>
    <s v="ORD-1064"/>
    <d v="2025-10-20T00:00:00"/>
    <s v="Tom Brown"/>
    <s v="tom@email.com"/>
    <s v="Sydney"/>
    <x v="2"/>
    <x v="11"/>
    <x v="2"/>
    <n v="12.99"/>
    <n v="4"/>
    <n v="0.05"/>
    <n v="51.96"/>
    <n v="2.5980000000000003"/>
    <n v="49.362000000000002"/>
    <x v="0"/>
    <s v="Bob Smith"/>
    <s v="Credit Card"/>
  </r>
  <r>
    <s v="ORD-1081"/>
    <d v="2025-10-18T00:00:00"/>
    <s v="Lisa Wang"/>
    <s v="lisa@email.com"/>
    <s v="Melbourne"/>
    <x v="4"/>
    <x v="4"/>
    <x v="1"/>
    <n v="899.99"/>
    <n v="5"/>
    <n v="0.1"/>
    <n v="4499.95"/>
    <n v="449.995"/>
    <n v="4049.9549999999999"/>
    <x v="2"/>
    <s v="Alice Morgan"/>
    <s v="Credit Card"/>
  </r>
  <r>
    <s v="ORD-1029"/>
    <d v="2025-10-16T00:00:00"/>
    <s v="David Kim"/>
    <s v="david@email.com"/>
    <s v="Brisbane"/>
    <x v="0"/>
    <x v="12"/>
    <x v="1"/>
    <n v="349.99"/>
    <n v="4"/>
    <n v="0"/>
    <n v="1399.96"/>
    <n v="0"/>
    <n v="1399.96"/>
    <x v="0"/>
    <s v="Alice Morgan"/>
    <s v="Credit Card"/>
  </r>
  <r>
    <s v="ORD-1017"/>
    <d v="2025-10-15T00:00:00"/>
    <s v="Priya Patel"/>
    <s v="priya@email.com"/>
    <s v="Adelaide"/>
    <x v="3"/>
    <x v="1"/>
    <x v="0"/>
    <n v="149.99"/>
    <n v="5"/>
    <n v="0.2"/>
    <n v="749.95"/>
    <n v="149.99"/>
    <n v="599.96"/>
    <x v="0"/>
    <s v="Alice Morgan"/>
    <s v="Credit Card"/>
  </r>
  <r>
    <s v="ORD-1063"/>
    <d v="2025-10-10T00:00:00"/>
    <s v="Anna Garcia"/>
    <s v="anna@email.com"/>
    <s v="Sydney"/>
    <x v="2"/>
    <x v="10"/>
    <x v="0"/>
    <n v="499.99"/>
    <n v="1"/>
    <n v="0"/>
    <n v="499.99"/>
    <n v="0"/>
    <n v="499.99"/>
    <x v="0"/>
    <s v="Bob Smith"/>
    <s v="Credit Card"/>
  </r>
  <r>
    <s v="ORD-1093"/>
    <d v="2025-09-25T00:00:00"/>
    <s v="David Kim"/>
    <s v="david@email.com"/>
    <s v="Brisbane"/>
    <x v="0"/>
    <x v="0"/>
    <x v="0"/>
    <n v="39.99"/>
    <n v="4"/>
    <n v="0.2"/>
    <n v="159.96"/>
    <n v="31.992000000000004"/>
    <n v="127.968"/>
    <x v="2"/>
    <s v="Carol Davis"/>
    <s v="Bank Transfer"/>
  </r>
  <r>
    <s v="ORD-1091"/>
    <d v="2025-09-21T00:00:00"/>
    <s v="Sarah Johnson"/>
    <s v="sydney@email.com"/>
    <s v="Sydney"/>
    <x v="2"/>
    <x v="3"/>
    <x v="0"/>
    <n v="299.99"/>
    <n v="4"/>
    <n v="0.2"/>
    <n v="1199.96"/>
    <n v="239.99200000000002"/>
    <n v="959.96800000000007"/>
    <x v="0"/>
    <s v="Alice Morgan"/>
    <s v="Credit Card"/>
  </r>
  <r>
    <s v="ORD-1100"/>
    <d v="2025-09-17T00:00:00"/>
    <s v="Lisa Wang"/>
    <s v="lisa@email.com"/>
    <s v="Melbourne"/>
    <x v="4"/>
    <x v="3"/>
    <x v="0"/>
    <n v="299.99"/>
    <n v="5"/>
    <n v="0"/>
    <n v="1499.95"/>
    <n v="0"/>
    <n v="1499.95"/>
    <x v="0"/>
    <s v="Dan Wilson"/>
    <s v="Bank Transfer"/>
  </r>
  <r>
    <s v="ORD-1061"/>
    <d v="2025-09-10T00:00:00"/>
    <s v="Lisa Wang"/>
    <s v="lisa@email.com"/>
    <s v="Melbourne"/>
    <x v="4"/>
    <x v="11"/>
    <x v="2"/>
    <n v="12.99"/>
    <n v="3"/>
    <n v="0.05"/>
    <n v="38.97"/>
    <n v="1.9485000000000001"/>
    <n v="37.021499999999996"/>
    <x v="2"/>
    <s v="Carol Davis"/>
    <s v="Credit Card"/>
  </r>
  <r>
    <s v="ORD-1028"/>
    <d v="2025-09-08T00:00:00"/>
    <s v="Sophie Martin"/>
    <s v="sophie@email.com"/>
    <s v="Melbourne"/>
    <x v="4"/>
    <x v="13"/>
    <x v="1"/>
    <n v="79.989999999999995"/>
    <n v="4"/>
    <n v="0"/>
    <n v="319.95999999999998"/>
    <n v="0"/>
    <n v="319.95999999999998"/>
    <x v="3"/>
    <s v="Bob Smith"/>
    <s v="Credit Card"/>
  </r>
  <r>
    <s v="ORD-1024"/>
    <d v="2025-09-06T00:00:00"/>
    <s v="Anna Garcia"/>
    <s v="anna@email.com"/>
    <s v="Sydney"/>
    <x v="2"/>
    <x v="13"/>
    <x v="1"/>
    <n v="79.989999999999995"/>
    <n v="5"/>
    <n v="0.05"/>
    <n v="399.95"/>
    <n v="19.997500000000002"/>
    <n v="379.95249999999999"/>
    <x v="0"/>
    <s v="Bob Smith"/>
    <s v="Bank Transfer"/>
  </r>
  <r>
    <s v="ORD-1007"/>
    <d v="2025-09-04T00:00:00"/>
    <s v="Lisa Wang"/>
    <s v="lisa@email.com"/>
    <s v="Melbourne"/>
    <x v="4"/>
    <x v="8"/>
    <x v="1"/>
    <n v="129.99"/>
    <n v="1"/>
    <n v="0.1"/>
    <n v="129.99"/>
    <n v="12.999000000000002"/>
    <n v="116.99100000000001"/>
    <x v="0"/>
    <s v="Carol Davis"/>
    <s v="Credit Card"/>
  </r>
  <r>
    <s v="ORD-1038"/>
    <d v="2025-09-03T00:00:00"/>
    <s v="Emma Wilson"/>
    <s v="emma@email.com"/>
    <s v="Brisbane"/>
    <x v="0"/>
    <x v="2"/>
    <x v="1"/>
    <n v="69.989999999999995"/>
    <n v="1"/>
    <n v="0.1"/>
    <n v="69.989999999999995"/>
    <n v="6.9989999999999997"/>
    <n v="62.990999999999993"/>
    <x v="0"/>
    <s v="Bob Smith"/>
    <s v="Credit Card"/>
  </r>
  <r>
    <s v="ORD-1065"/>
    <d v="2025-08-26T00:00:00"/>
    <s v="Ryan Nguyen"/>
    <s v="ryan@email.com"/>
    <s v="Adelaide"/>
    <x v="3"/>
    <x v="8"/>
    <x v="1"/>
    <n v="129.99"/>
    <n v="2"/>
    <n v="0.15"/>
    <n v="259.98"/>
    <n v="38.997"/>
    <n v="220.983"/>
    <x v="0"/>
    <s v="Carol Davis"/>
    <s v="Credit Card"/>
  </r>
  <r>
    <s v="ORD-1074"/>
    <d v="2025-08-21T00:00:00"/>
    <s v="Priya Patel"/>
    <s v="priya@email.com"/>
    <s v="Adelaide"/>
    <x v="3"/>
    <x v="12"/>
    <x v="1"/>
    <n v="349.99"/>
    <n v="4"/>
    <n v="0"/>
    <n v="1399.96"/>
    <n v="0"/>
    <n v="1399.96"/>
    <x v="2"/>
    <s v="Carol Davis"/>
    <s v="PayPal"/>
  </r>
  <r>
    <s v="ORD-1042"/>
    <d v="2025-08-20T00:00:00"/>
    <s v="Mike Chen"/>
    <s v="mike@email.com"/>
    <s v="Melbourne"/>
    <x v="4"/>
    <x v="5"/>
    <x v="2"/>
    <n v="59.99"/>
    <n v="1"/>
    <n v="0.1"/>
    <n v="59.99"/>
    <n v="5.9990000000000006"/>
    <n v="53.991"/>
    <x v="0"/>
    <s v="Carol Davis"/>
    <s v="PayPal"/>
  </r>
  <r>
    <s v="ORD-1077"/>
    <d v="2025-08-14T00:00:00"/>
    <s v="James Lee"/>
    <s v="james@email.com"/>
    <s v="Perth"/>
    <x v="1"/>
    <x v="4"/>
    <x v="1"/>
    <n v="899.99"/>
    <n v="4"/>
    <n v="0.05"/>
    <n v="3599.96"/>
    <n v="179.99800000000002"/>
    <n v="3419.962"/>
    <x v="1"/>
    <s v="Alice Morgan"/>
    <s v="Credit Card"/>
  </r>
  <r>
    <s v="ORD-1096"/>
    <d v="2025-08-07T00:00:00"/>
    <s v="Priya Patel"/>
    <s v="priya@email.com"/>
    <s v="Adelaide"/>
    <x v="3"/>
    <x v="3"/>
    <x v="0"/>
    <n v="299.99"/>
    <n v="3"/>
    <n v="0"/>
    <n v="899.97"/>
    <n v="0"/>
    <n v="899.97"/>
    <x v="3"/>
    <s v="Carol Davis"/>
    <s v="Credit Card"/>
  </r>
  <r>
    <s v="ORD-1071"/>
    <d v="2025-08-05T00:00:00"/>
    <s v="David Kim"/>
    <s v="david@email.com"/>
    <s v="Brisbane"/>
    <x v="0"/>
    <x v="9"/>
    <x v="2"/>
    <n v="24.99"/>
    <n v="5"/>
    <n v="0.1"/>
    <n v="124.94999999999999"/>
    <n v="12.494999999999999"/>
    <n v="112.45499999999998"/>
    <x v="3"/>
    <s v="Carol Davis"/>
    <s v="Credit Card"/>
  </r>
  <r>
    <s v="ORD-1080"/>
    <d v="2025-08-01T00:00:00"/>
    <s v="Tom Brown"/>
    <s v="tom@email.com"/>
    <s v="Sydney"/>
    <x v="2"/>
    <x v="10"/>
    <x v="0"/>
    <n v="499.99"/>
    <n v="4"/>
    <n v="0.15"/>
    <n v="1999.96"/>
    <n v="299.99399999999997"/>
    <n v="1699.9660000000001"/>
    <x v="0"/>
    <s v="Dan Wilson"/>
    <s v="PayPal"/>
  </r>
  <r>
    <s v="ORD-1031"/>
    <d v="2025-07-24T00:00:00"/>
    <s v="Mike Chen"/>
    <s v="mike@email.com"/>
    <s v="Melbourne"/>
    <x v="4"/>
    <x v="3"/>
    <x v="0"/>
    <n v="299.99"/>
    <n v="2"/>
    <n v="0"/>
    <n v="599.98"/>
    <n v="0"/>
    <n v="599.98"/>
    <x v="0"/>
    <s v="Dan Wilson"/>
    <s v="PayPal"/>
  </r>
  <r>
    <s v="ORD-1025"/>
    <d v="2025-07-22T00:00:00"/>
    <s v="Tom Brown"/>
    <s v="tom@email.com"/>
    <s v="Sydney"/>
    <x v="2"/>
    <x v="11"/>
    <x v="2"/>
    <n v="12.99"/>
    <n v="4"/>
    <n v="0.1"/>
    <n v="51.96"/>
    <n v="5.1960000000000006"/>
    <n v="46.764000000000003"/>
    <x v="0"/>
    <s v="Alice Morgan"/>
    <s v="PayPal"/>
  </r>
  <r>
    <s v="ORD-1058"/>
    <d v="2025-07-20T00:00:00"/>
    <s v="Mike Chen"/>
    <s v="mike@email.com"/>
    <s v="Melbourne"/>
    <x v="4"/>
    <x v="1"/>
    <x v="0"/>
    <n v="149.99"/>
    <n v="4"/>
    <n v="0.1"/>
    <n v="599.96"/>
    <n v="59.996000000000009"/>
    <n v="539.96400000000006"/>
    <x v="0"/>
    <s v="Carol Davis"/>
    <s v="Credit Card"/>
  </r>
  <r>
    <s v="ORD-1034"/>
    <d v="2025-07-16T00:00:00"/>
    <s v="James Lee"/>
    <s v="james@email.com"/>
    <s v="Perth"/>
    <x v="1"/>
    <x v="0"/>
    <x v="0"/>
    <n v="39.99"/>
    <n v="4"/>
    <n v="0"/>
    <n v="159.96"/>
    <n v="0"/>
    <n v="159.96"/>
    <x v="0"/>
    <s v="Dan Wilson"/>
    <s v="Credit Card"/>
  </r>
  <r>
    <s v="ORD-1078"/>
    <d v="2025-07-16T00:00:00"/>
    <s v="Tom Brown"/>
    <s v="tom@email.com"/>
    <s v="Sydney"/>
    <x v="2"/>
    <x v="4"/>
    <x v="1"/>
    <n v="899.99"/>
    <n v="3"/>
    <n v="0.2"/>
    <n v="2699.9700000000003"/>
    <n v="539.99400000000003"/>
    <n v="2159.9760000000001"/>
    <x v="0"/>
    <s v="Dan Wilson"/>
    <s v="Credit Card"/>
  </r>
  <r>
    <s v="ORD-1015"/>
    <d v="2025-07-12T00:00:00"/>
    <s v="Emma Wilson"/>
    <s v="emma@email.com"/>
    <s v="Brisbane"/>
    <x v="0"/>
    <x v="12"/>
    <x v="1"/>
    <n v="349.99"/>
    <n v="5"/>
    <n v="0.05"/>
    <n v="1749.95"/>
    <n v="87.497500000000002"/>
    <n v="1662.4525000000001"/>
    <x v="0"/>
    <s v="Alice Morgan"/>
    <s v="Credit Card"/>
  </r>
  <r>
    <s v="ORD-1035"/>
    <d v="2025-07-09T00:00:00"/>
    <s v="David Kim"/>
    <s v="david@email.com"/>
    <s v="Brisbane"/>
    <x v="0"/>
    <x v="8"/>
    <x v="1"/>
    <n v="129.99"/>
    <n v="3"/>
    <n v="0.05"/>
    <n v="389.97"/>
    <n v="19.498500000000003"/>
    <n v="370.47150000000005"/>
    <x v="2"/>
    <s v="Dan Wilson"/>
    <s v="PayPal"/>
  </r>
  <r>
    <s v="ORD-1004"/>
    <d v="2025-07-08T00:00:00"/>
    <s v="Chris Taylor"/>
    <s v="chris@email.com"/>
    <s v="Perth"/>
    <x v="1"/>
    <x v="0"/>
    <x v="0"/>
    <n v="39.99"/>
    <n v="3"/>
    <n v="0.2"/>
    <n v="119.97"/>
    <n v="23.994"/>
    <n v="95.975999999999999"/>
    <x v="1"/>
    <s v="Alice Morgan"/>
    <s v="PayPal"/>
  </r>
  <r>
    <s v="ORD-1069"/>
    <d v="2025-07-08T00:00:00"/>
    <s v="Sophie Martin"/>
    <s v="sophie@email.com"/>
    <s v="Melbourne"/>
    <x v="4"/>
    <x v="6"/>
    <x v="1"/>
    <n v="49.99"/>
    <n v="1"/>
    <n v="0.2"/>
    <n v="49.99"/>
    <n v="9.9980000000000011"/>
    <n v="39.992000000000004"/>
    <x v="1"/>
    <s v="Alice Morgan"/>
    <s v="Credit Card"/>
  </r>
  <r>
    <s v="ORD-1032"/>
    <d v="2025-07-06T00:00:00"/>
    <s v="David Kim"/>
    <s v="david@email.com"/>
    <s v="Brisbane"/>
    <x v="0"/>
    <x v="13"/>
    <x v="1"/>
    <n v="79.989999999999995"/>
    <n v="2"/>
    <n v="0.2"/>
    <n v="159.97999999999999"/>
    <n v="31.995999999999999"/>
    <n v="127.98399999999999"/>
    <x v="0"/>
    <s v="Dan Wilson"/>
    <s v="Credit Card"/>
  </r>
  <r>
    <s v="ORD-1060"/>
    <d v="2025-07-03T00:00:00"/>
    <s v="Tom Brown"/>
    <s v="tom@email.com"/>
    <s v="Sydney"/>
    <x v="2"/>
    <x v="11"/>
    <x v="2"/>
    <n v="12.99"/>
    <n v="5"/>
    <n v="0"/>
    <n v="64.95"/>
    <n v="0"/>
    <n v="64.95"/>
    <x v="2"/>
    <s v="Alice Morgan"/>
    <s v="Bank Transfer"/>
  </r>
  <r>
    <s v="ORD-1051"/>
    <d v="2025-06-25T00:00:00"/>
    <s v="Lisa Wang"/>
    <s v="lisa@email.com"/>
    <s v="Melbourne"/>
    <x v="4"/>
    <x v="1"/>
    <x v="0"/>
    <n v="149.99"/>
    <n v="5"/>
    <n v="0.15"/>
    <n v="749.95"/>
    <n v="112.49250000000001"/>
    <n v="637.45749999999998"/>
    <x v="0"/>
    <s v="Bob Smith"/>
    <s v="PayPal"/>
  </r>
  <r>
    <s v="ORD-1056"/>
    <d v="2025-06-21T00:00:00"/>
    <s v="Lisa Wang"/>
    <s v="lisa@email.com"/>
    <s v="Melbourne"/>
    <x v="4"/>
    <x v="1"/>
    <x v="0"/>
    <n v="149.99"/>
    <n v="5"/>
    <n v="0"/>
    <n v="749.95"/>
    <n v="0"/>
    <n v="749.95"/>
    <x v="0"/>
    <s v="Alice Morgan"/>
    <s v="Bank Transfer"/>
  </r>
  <r>
    <s v="ORD-1092"/>
    <d v="2025-06-21T00:00:00"/>
    <s v="David Kim"/>
    <s v="david@email.com"/>
    <s v="Brisbane"/>
    <x v="0"/>
    <x v="8"/>
    <x v="1"/>
    <n v="129.99"/>
    <n v="2"/>
    <n v="0.05"/>
    <n v="259.98"/>
    <n v="12.999000000000002"/>
    <n v="246.98100000000002"/>
    <x v="0"/>
    <s v="Carol Davis"/>
    <s v="Credit Card"/>
  </r>
  <r>
    <s v="ORD-1030"/>
    <d v="2025-06-14T00:00:00"/>
    <s v="David Kim"/>
    <s v="david@email.com"/>
    <s v="Brisbane"/>
    <x v="0"/>
    <x v="10"/>
    <x v="0"/>
    <n v="499.99"/>
    <n v="1"/>
    <n v="0.15"/>
    <n v="499.99"/>
    <n v="74.998499999999993"/>
    <n v="424.99150000000003"/>
    <x v="2"/>
    <s v="Alice Morgan"/>
    <s v="Credit Card"/>
  </r>
  <r>
    <s v="ORD-1087"/>
    <d v="2025-06-06T00:00:00"/>
    <s v="Chris Taylor"/>
    <s v="chris@email.com"/>
    <s v="Perth"/>
    <x v="1"/>
    <x v="5"/>
    <x v="2"/>
    <n v="59.99"/>
    <n v="1"/>
    <n v="0.2"/>
    <n v="59.99"/>
    <n v="11.998000000000001"/>
    <n v="47.992000000000004"/>
    <x v="1"/>
    <s v="Bob Smith"/>
    <s v="Bank Transfer"/>
  </r>
  <r>
    <s v="ORD-1043"/>
    <d v="2025-06-03T00:00:00"/>
    <s v="James Lee"/>
    <s v="james@email.com"/>
    <s v="Perth"/>
    <x v="1"/>
    <x v="8"/>
    <x v="1"/>
    <n v="129.99"/>
    <n v="3"/>
    <n v="0"/>
    <n v="389.97"/>
    <n v="0"/>
    <n v="389.97"/>
    <x v="0"/>
    <s v="Dan Wilson"/>
    <s v="Credit Card"/>
  </r>
  <r>
    <s v="ORD-1018"/>
    <d v="2025-05-25T00:00:00"/>
    <s v="Tom Brown"/>
    <s v="tom@email.com"/>
    <s v="Sydney"/>
    <x v="2"/>
    <x v="11"/>
    <x v="2"/>
    <n v="12.99"/>
    <n v="1"/>
    <n v="0"/>
    <n v="12.99"/>
    <n v="0"/>
    <n v="12.99"/>
    <x v="0"/>
    <s v="Bob Smith"/>
    <s v="Credit Card"/>
  </r>
  <r>
    <s v="ORD-1041"/>
    <d v="2025-05-13T00:00:00"/>
    <s v="Sophie Martin"/>
    <s v="sophie@email.com"/>
    <s v="Melbourne"/>
    <x v="4"/>
    <x v="6"/>
    <x v="1"/>
    <n v="49.99"/>
    <n v="3"/>
    <n v="0.05"/>
    <n v="149.97"/>
    <n v="7.4984999999999999"/>
    <n v="142.47149999999999"/>
    <x v="0"/>
    <s v="Alice Morgan"/>
    <s v="Credit Card"/>
  </r>
  <r>
    <s v="ORD-1075"/>
    <d v="2025-05-11T00:00:00"/>
    <s v="Anna Garcia"/>
    <s v="anna@email.com"/>
    <s v="Sydney"/>
    <x v="2"/>
    <x v="3"/>
    <x v="0"/>
    <n v="299.99"/>
    <n v="1"/>
    <n v="0"/>
    <n v="299.99"/>
    <n v="0"/>
    <n v="299.99"/>
    <x v="0"/>
    <s v="Bob Smith"/>
    <s v="Credit Card"/>
  </r>
  <r>
    <s v="ORD-1099"/>
    <d v="2025-05-08T00:00:00"/>
    <s v="Ryan Nguyen"/>
    <s v="ryan@email.com"/>
    <s v="Adelaide"/>
    <x v="3"/>
    <x v="10"/>
    <x v="0"/>
    <n v="499.99"/>
    <n v="2"/>
    <n v="0"/>
    <n v="999.98"/>
    <n v="0"/>
    <n v="999.98"/>
    <x v="2"/>
    <s v="Carol Davis"/>
    <s v="Credit Card"/>
  </r>
  <r>
    <s v="ORD-1014"/>
    <d v="2025-05-05T00:00:00"/>
    <s v="Ryan Nguyen"/>
    <s v="ryan@email.com"/>
    <s v="Adelaide"/>
    <x v="3"/>
    <x v="12"/>
    <x v="1"/>
    <n v="349.99"/>
    <n v="5"/>
    <n v="0.1"/>
    <n v="1749.95"/>
    <n v="174.995"/>
    <n v="1574.9549999999999"/>
    <x v="0"/>
    <s v="Dan Wilson"/>
    <s v="Credit Card"/>
  </r>
  <r>
    <s v="ORD-1054"/>
    <d v="2025-04-27T00:00:00"/>
    <s v="David Kim"/>
    <s v="david@email.com"/>
    <s v="Brisbane"/>
    <x v="0"/>
    <x v="8"/>
    <x v="1"/>
    <n v="129.99"/>
    <n v="3"/>
    <n v="0"/>
    <n v="389.97"/>
    <n v="0"/>
    <n v="389.97"/>
    <x v="1"/>
    <s v="Bob Smith"/>
    <s v="PayPal"/>
  </r>
  <r>
    <s v="ORD-1094"/>
    <d v="2025-04-27T00:00:00"/>
    <s v="Mike Chen"/>
    <s v="mike@email.com"/>
    <s v="Melbourne"/>
    <x v="4"/>
    <x v="8"/>
    <x v="1"/>
    <n v="129.99"/>
    <n v="3"/>
    <n v="0.05"/>
    <n v="389.97"/>
    <n v="19.498500000000003"/>
    <n v="370.47150000000005"/>
    <x v="0"/>
    <s v="Dan Wilson"/>
    <s v="Credit Card"/>
  </r>
  <r>
    <s v="ORD-1067"/>
    <d v="2025-04-26T00:00:00"/>
    <s v="Emma Wilson"/>
    <s v="emma@email.com"/>
    <s v="Brisbane"/>
    <x v="0"/>
    <x v="12"/>
    <x v="1"/>
    <n v="349.99"/>
    <n v="1"/>
    <n v="0"/>
    <n v="349.99"/>
    <n v="0"/>
    <n v="349.99"/>
    <x v="0"/>
    <s v="Dan Wilson"/>
    <s v="Credit Card"/>
  </r>
  <r>
    <s v="ORD-1008"/>
    <d v="2025-04-23T00:00:00"/>
    <s v="Sarah Johnson"/>
    <s v="sydney@email.com"/>
    <s v="Sydney"/>
    <x v="2"/>
    <x v="14"/>
    <x v="1"/>
    <n v="29.99"/>
    <n v="2"/>
    <n v="0.2"/>
    <n v="59.98"/>
    <n v="11.996"/>
    <n v="47.983999999999995"/>
    <x v="0"/>
    <s v="Alice Morgan"/>
    <s v="PayPal"/>
  </r>
  <r>
    <s v="ORD-1046"/>
    <d v="2025-04-23T00:00:00"/>
    <s v="James Lee"/>
    <s v="james@email.com"/>
    <s v="Perth"/>
    <x v="1"/>
    <x v="3"/>
    <x v="0"/>
    <n v="299.99"/>
    <n v="3"/>
    <n v="0.1"/>
    <n v="899.97"/>
    <n v="89.997000000000014"/>
    <n v="809.97299999999996"/>
    <x v="0"/>
    <s v="Carol Davis"/>
    <s v="Credit Card"/>
  </r>
  <r>
    <s v="ORD-1098"/>
    <d v="2025-04-23T00:00:00"/>
    <s v="Sophie Martin"/>
    <s v="sophie@email.com"/>
    <s v="Melbourne"/>
    <x v="4"/>
    <x v="0"/>
    <x v="0"/>
    <n v="39.99"/>
    <n v="4"/>
    <n v="0.05"/>
    <n v="159.96"/>
    <n v="7.9980000000000011"/>
    <n v="151.96200000000002"/>
    <x v="1"/>
    <s v="Alice Morgan"/>
    <s v="Credit Card"/>
  </r>
  <r>
    <s v="ORD-1083"/>
    <d v="2025-04-15T00:00:00"/>
    <s v="Tom Brown"/>
    <s v="tom@email.com"/>
    <s v="Sydney"/>
    <x v="2"/>
    <x v="3"/>
    <x v="0"/>
    <n v="299.99"/>
    <n v="4"/>
    <n v="0"/>
    <n v="1199.96"/>
    <n v="0"/>
    <n v="1199.96"/>
    <x v="1"/>
    <s v="Dan Wilson"/>
    <s v="Bank Transfer"/>
  </r>
  <r>
    <s v="ORD-1036"/>
    <d v="2025-04-10T00:00:00"/>
    <s v="Sarah Johnson"/>
    <s v="sydney@email.com"/>
    <s v="Sydney"/>
    <x v="2"/>
    <x v="12"/>
    <x v="1"/>
    <n v="349.99"/>
    <n v="5"/>
    <n v="0.15"/>
    <n v="1749.95"/>
    <n v="262.49250000000001"/>
    <n v="1487.4575"/>
    <x v="3"/>
    <s v="Alice Morgan"/>
    <s v="Bank Transfer"/>
  </r>
  <r>
    <s v="ORD-1070"/>
    <d v="2025-04-06T00:00:00"/>
    <s v="Ryan Nguyen"/>
    <s v="ryan@email.com"/>
    <s v="Adelaide"/>
    <x v="3"/>
    <x v="9"/>
    <x v="2"/>
    <n v="24.99"/>
    <n v="5"/>
    <n v="0.05"/>
    <n v="124.94999999999999"/>
    <n v="6.2474999999999996"/>
    <n v="118.70249999999999"/>
    <x v="0"/>
    <s v="Bob Smith"/>
    <s v="Credit Card"/>
  </r>
  <r>
    <s v="ORD-1026"/>
    <d v="2025-04-03T00:00:00"/>
    <s v="Sarah Johnson"/>
    <s v="sydney@email.com"/>
    <s v="Sydney"/>
    <x v="2"/>
    <x v="3"/>
    <x v="0"/>
    <n v="299.99"/>
    <n v="5"/>
    <n v="0.1"/>
    <n v="1499.95"/>
    <n v="149.995"/>
    <n v="1349.9549999999999"/>
    <x v="0"/>
    <s v="Bob Smith"/>
    <s v="Credit Card"/>
  </r>
  <r>
    <s v="ORD-1053"/>
    <d v="2025-03-26T00:00:00"/>
    <s v="Mike Chen"/>
    <s v="mike@email.com"/>
    <s v="Melbourne"/>
    <x v="4"/>
    <x v="7"/>
    <x v="2"/>
    <n v="8.99"/>
    <n v="4"/>
    <n v="0.2"/>
    <n v="35.96"/>
    <n v="7.1920000000000002"/>
    <n v="28.768000000000001"/>
    <x v="0"/>
    <s v="Dan Wilson"/>
    <s v="PayPal"/>
  </r>
  <r>
    <s v="ORD-1048"/>
    <d v="2025-03-24T00:00:00"/>
    <s v="Anna Garcia"/>
    <s v="anna@email.com"/>
    <s v="Sydney"/>
    <x v="2"/>
    <x v="0"/>
    <x v="0"/>
    <n v="39.99"/>
    <n v="4"/>
    <n v="0.1"/>
    <n v="159.96"/>
    <n v="15.996000000000002"/>
    <n v="143.964"/>
    <x v="0"/>
    <s v="Alice Morgan"/>
    <s v="Credit Card"/>
  </r>
  <r>
    <s v="ORD-1016"/>
    <d v="2025-03-21T00:00:00"/>
    <s v="Sophie Martin"/>
    <s v="sophie@email.com"/>
    <s v="Melbourne"/>
    <x v="4"/>
    <x v="6"/>
    <x v="1"/>
    <n v="49.99"/>
    <n v="4"/>
    <n v="0.1"/>
    <n v="199.96"/>
    <n v="19.996000000000002"/>
    <n v="179.964"/>
    <x v="0"/>
    <s v="Dan Wilson"/>
    <s v="Credit Card"/>
  </r>
  <r>
    <s v="ORD-1057"/>
    <d v="2025-03-19T00:00:00"/>
    <s v="Sarah Johnson"/>
    <s v="sydney@email.com"/>
    <s v="Sydney"/>
    <x v="2"/>
    <x v="13"/>
    <x v="1"/>
    <n v="79.989999999999995"/>
    <n v="1"/>
    <n v="0.1"/>
    <n v="79.989999999999995"/>
    <n v="7.9989999999999997"/>
    <n v="71.991"/>
    <x v="0"/>
    <s v="Carol Davis"/>
    <s v="Bank Transfer"/>
  </r>
  <r>
    <s v="ORD-1021"/>
    <d v="2025-03-18T00:00:00"/>
    <s v="Anna Garcia"/>
    <s v="anna@email.com"/>
    <s v="Sydney"/>
    <x v="2"/>
    <x v="9"/>
    <x v="2"/>
    <n v="24.99"/>
    <n v="1"/>
    <n v="0.1"/>
    <n v="24.99"/>
    <n v="2.4990000000000001"/>
    <n v="22.491"/>
    <x v="0"/>
    <s v="Dan Wilson"/>
    <s v="Credit Card"/>
  </r>
  <r>
    <s v="ORD-1052"/>
    <d v="2025-03-14T00:00:00"/>
    <s v="Emma Wilson"/>
    <s v="emma@email.com"/>
    <s v="Brisbane"/>
    <x v="0"/>
    <x v="4"/>
    <x v="1"/>
    <n v="899.99"/>
    <n v="3"/>
    <n v="0.2"/>
    <n v="2699.9700000000003"/>
    <n v="539.99400000000003"/>
    <n v="2159.9760000000001"/>
    <x v="0"/>
    <s v="Bob Smith"/>
    <s v="Bank Transfer"/>
  </r>
  <r>
    <s v="ORD-1045"/>
    <d v="2025-03-09T00:00:00"/>
    <s v="Mike Chen"/>
    <s v="mike@email.com"/>
    <s v="Melbourne"/>
    <x v="4"/>
    <x v="14"/>
    <x v="1"/>
    <n v="29.99"/>
    <n v="5"/>
    <n v="0"/>
    <n v="149.94999999999999"/>
    <n v="0"/>
    <n v="149.94999999999999"/>
    <x v="0"/>
    <s v="Carol Davis"/>
    <s v="Credit Card"/>
  </r>
  <r>
    <s v="ORD-1086"/>
    <d v="2025-03-08T00:00:00"/>
    <s v="David Kim"/>
    <s v="david@email.com"/>
    <s v="Brisbane"/>
    <x v="0"/>
    <x v="6"/>
    <x v="1"/>
    <n v="49.99"/>
    <n v="1"/>
    <n v="0.1"/>
    <n v="49.99"/>
    <n v="4.9990000000000006"/>
    <n v="44.991"/>
    <x v="0"/>
    <s v="Dan Wilson"/>
    <s v="Bank Transfer"/>
  </r>
  <r>
    <s v="ORD-1062"/>
    <d v="2025-03-07T00:00:00"/>
    <s v="Sophie Martin"/>
    <s v="sophie@email.com"/>
    <s v="Melbourne"/>
    <x v="4"/>
    <x v="10"/>
    <x v="0"/>
    <n v="499.99"/>
    <n v="4"/>
    <n v="0.15"/>
    <n v="1999.96"/>
    <n v="299.99399999999997"/>
    <n v="1699.9660000000001"/>
    <x v="2"/>
    <s v="Bob Smith"/>
    <s v="Credit Card"/>
  </r>
  <r>
    <s v="ORD-1050"/>
    <d v="2025-03-02T00:00:00"/>
    <s v="Tom Brown"/>
    <s v="tom@email.com"/>
    <s v="Sydney"/>
    <x v="2"/>
    <x v="13"/>
    <x v="1"/>
    <n v="79.989999999999995"/>
    <n v="1"/>
    <n v="0"/>
    <n v="79.989999999999995"/>
    <n v="0"/>
    <n v="79.989999999999995"/>
    <x v="0"/>
    <s v="Bob Smith"/>
    <s v="Credit Card"/>
  </r>
  <r>
    <s v="ORD-1020"/>
    <d v="2025-02-28T00:00:00"/>
    <s v="Priya Patel"/>
    <s v="priya@email.com"/>
    <s v="Adelaide"/>
    <x v="3"/>
    <x v="11"/>
    <x v="2"/>
    <n v="12.99"/>
    <n v="5"/>
    <n v="0.1"/>
    <n v="64.95"/>
    <n v="6.495000000000001"/>
    <n v="58.454999999999998"/>
    <x v="0"/>
    <s v="Bob Smith"/>
    <s v="Bank Transfer"/>
  </r>
  <r>
    <s v="ORD-1090"/>
    <d v="2025-02-26T00:00:00"/>
    <s v="Sarah Johnson"/>
    <s v="sydney@email.com"/>
    <s v="Sydney"/>
    <x v="2"/>
    <x v="5"/>
    <x v="2"/>
    <n v="59.99"/>
    <n v="3"/>
    <n v="0.1"/>
    <n v="179.97"/>
    <n v="17.997"/>
    <n v="161.97300000000001"/>
    <x v="0"/>
    <s v="Carol Davis"/>
    <s v="Credit Card"/>
  </r>
  <r>
    <s v="ORD-1027"/>
    <d v="2025-02-23T00:00:00"/>
    <s v="Sarah Johnson"/>
    <s v="sydney@email.com"/>
    <s v="Sydney"/>
    <x v="2"/>
    <x v="11"/>
    <x v="2"/>
    <n v="12.99"/>
    <n v="2"/>
    <n v="0"/>
    <n v="25.98"/>
    <n v="0"/>
    <n v="25.98"/>
    <x v="0"/>
    <s v="Carol Davis"/>
    <s v="Credit Card"/>
  </r>
  <r>
    <s v="ORD-1047"/>
    <d v="2025-02-21T00:00:00"/>
    <s v="Priya Patel"/>
    <s v="priya@email.com"/>
    <s v="Adelaide"/>
    <x v="3"/>
    <x v="10"/>
    <x v="0"/>
    <n v="499.99"/>
    <n v="1"/>
    <n v="0"/>
    <n v="499.99"/>
    <n v="0"/>
    <n v="499.99"/>
    <x v="0"/>
    <s v="Bob Smith"/>
    <s v="Bank Transfer"/>
  </r>
  <r>
    <s v="ORD-1039"/>
    <d v="2025-02-19T00:00:00"/>
    <s v="Chris Taylor"/>
    <s v="chris@email.com"/>
    <s v="Perth"/>
    <x v="1"/>
    <x v="12"/>
    <x v="1"/>
    <n v="349.99"/>
    <n v="5"/>
    <n v="0"/>
    <n v="1749.95"/>
    <n v="0"/>
    <n v="1749.95"/>
    <x v="3"/>
    <s v="Alice Morgan"/>
    <s v="Credit Card"/>
  </r>
  <r>
    <s v="ORD-1088"/>
    <d v="2025-02-19T00:00:00"/>
    <s v="Priya Patel"/>
    <s v="priya@email.com"/>
    <s v="Adelaide"/>
    <x v="3"/>
    <x v="4"/>
    <x v="1"/>
    <n v="899.99"/>
    <n v="5"/>
    <n v="0.15"/>
    <n v="4499.95"/>
    <n v="674.99249999999995"/>
    <n v="3824.9575"/>
    <x v="0"/>
    <s v="Dan Wilson"/>
    <s v="PayPal"/>
  </r>
  <r>
    <s v="ORD-1089"/>
    <d v="2025-02-19T00:00:00"/>
    <s v="Sophie Martin"/>
    <s v="sophie@email.com"/>
    <s v="Melbourne"/>
    <x v="4"/>
    <x v="7"/>
    <x v="2"/>
    <n v="8.99"/>
    <n v="2"/>
    <n v="0"/>
    <n v="17.98"/>
    <n v="0"/>
    <n v="17.98"/>
    <x v="2"/>
    <s v="Carol Davis"/>
    <s v="Credit Card"/>
  </r>
  <r>
    <s v="ORD-1084"/>
    <d v="2025-02-16T00:00:00"/>
    <s v="Ryan Nguyen"/>
    <s v="ryan@email.com"/>
    <s v="Adelaide"/>
    <x v="3"/>
    <x v="4"/>
    <x v="1"/>
    <n v="899.99"/>
    <n v="5"/>
    <n v="0"/>
    <n v="4499.95"/>
    <n v="0"/>
    <n v="4499.95"/>
    <x v="0"/>
    <s v="Bob Smith"/>
    <s v="Credit Card"/>
  </r>
  <r>
    <s v="ORD-1068"/>
    <d v="2025-02-15T00:00:00"/>
    <s v="Sophie Martin"/>
    <s v="sophie@email.com"/>
    <s v="Melbourne"/>
    <x v="4"/>
    <x v="10"/>
    <x v="0"/>
    <n v="499.99"/>
    <n v="5"/>
    <n v="0"/>
    <n v="2499.9499999999998"/>
    <n v="0"/>
    <n v="2499.9499999999998"/>
    <x v="2"/>
    <s v="Dan Wilson"/>
    <s v="Credit Card"/>
  </r>
  <r>
    <s v="ORD-1006"/>
    <d v="2025-02-13T00:00:00"/>
    <s v="Tom Brown"/>
    <s v="tom@email.com"/>
    <s v="Sydney"/>
    <x v="2"/>
    <x v="14"/>
    <x v="1"/>
    <n v="29.99"/>
    <n v="3"/>
    <n v="0.1"/>
    <n v="89.97"/>
    <n v="8.9969999999999999"/>
    <n v="80.972999999999999"/>
    <x v="0"/>
    <s v="Alice Morgan"/>
    <s v="Credit Card"/>
  </r>
  <r>
    <s v="ORD-1009"/>
    <d v="2025-02-13T00:00:00"/>
    <s v="David Kim"/>
    <s v="david@email.com"/>
    <s v="Brisbane"/>
    <x v="0"/>
    <x v="13"/>
    <x v="1"/>
    <n v="79.989999999999995"/>
    <n v="3"/>
    <n v="0"/>
    <n v="239.96999999999997"/>
    <n v="0"/>
    <n v="239.96999999999997"/>
    <x v="0"/>
    <s v="Carol Davis"/>
    <s v="PayPal"/>
  </r>
  <r>
    <s v="ORD-1022"/>
    <d v="2025-02-12T00:00:00"/>
    <s v="Priya Patel"/>
    <s v="priya@email.com"/>
    <s v="Adelaide"/>
    <x v="3"/>
    <x v="8"/>
    <x v="1"/>
    <n v="129.99"/>
    <n v="2"/>
    <n v="0"/>
    <n v="259.98"/>
    <n v="0"/>
    <n v="259.98"/>
    <x v="0"/>
    <s v="Alice Morgan"/>
    <s v="Credit Card"/>
  </r>
  <r>
    <s v="ORD-1003"/>
    <d v="2025-02-07T00:00:00"/>
    <s v="Anna Garcia"/>
    <s v="anna@email.com"/>
    <s v="Sydney"/>
    <x v="2"/>
    <x v="12"/>
    <x v="1"/>
    <n v="349.99"/>
    <n v="5"/>
    <n v="0"/>
    <n v="1749.95"/>
    <n v="0"/>
    <n v="1749.95"/>
    <x v="3"/>
    <s v="Bob Smith"/>
    <s v="Credit Card"/>
  </r>
  <r>
    <s v="ORD-1033"/>
    <d v="2025-02-02T00:00:00"/>
    <s v="Anna Garcia"/>
    <s v="anna@email.com"/>
    <s v="Sydney"/>
    <x v="2"/>
    <x v="11"/>
    <x v="2"/>
    <n v="12.99"/>
    <n v="1"/>
    <n v="0"/>
    <n v="12.99"/>
    <n v="0"/>
    <n v="12.99"/>
    <x v="1"/>
    <s v="Bob Smith"/>
    <s v="PayPal"/>
  </r>
  <r>
    <s v="ORD-1019"/>
    <d v="2025-01-24T00:00:00"/>
    <s v="Ryan Nguyen"/>
    <s v="ryan@email.com"/>
    <s v="Adelaide"/>
    <x v="3"/>
    <x v="8"/>
    <x v="1"/>
    <n v="129.99"/>
    <n v="3"/>
    <n v="0.1"/>
    <n v="389.97"/>
    <n v="38.997000000000007"/>
    <n v="350.97300000000001"/>
    <x v="1"/>
    <s v="Bob Smith"/>
    <s v="Credit Card"/>
  </r>
  <r>
    <s v="ORD-1055"/>
    <d v="2025-01-22T00:00:00"/>
    <s v="Lisa Wang"/>
    <s v="lisa@email.com"/>
    <s v="Melbourne"/>
    <x v="4"/>
    <x v="12"/>
    <x v="1"/>
    <n v="349.99"/>
    <n v="3"/>
    <n v="0"/>
    <n v="1049.97"/>
    <n v="0"/>
    <n v="1049.97"/>
    <x v="1"/>
    <s v="Alice Morgan"/>
    <s v="Bank Transfer"/>
  </r>
  <r>
    <s v="ORD-1097"/>
    <d v="2025-01-17T00:00:00"/>
    <s v="Mike Chen"/>
    <s v="mike@email.com"/>
    <s v="Melbourne"/>
    <x v="4"/>
    <x v="12"/>
    <x v="1"/>
    <n v="349.99"/>
    <n v="2"/>
    <n v="0.15"/>
    <n v="699.98"/>
    <n v="104.997"/>
    <n v="594.98300000000006"/>
    <x v="0"/>
    <s v="Dan Wilson"/>
    <s v="Credit Card"/>
  </r>
  <r>
    <s v="ORD-1023"/>
    <d v="2025-12-16T00:00:00"/>
    <s v="Mike Chen"/>
    <s v="mike@email.com"/>
    <s v="Melbourne"/>
    <x v="4"/>
    <x v="2"/>
    <x v="1"/>
    <n v="69.989999999999995"/>
    <n v="5"/>
    <n v="0.2"/>
    <n v="349.95"/>
    <n v="69.989999999999995"/>
    <n v="279.95999999999998"/>
    <x v="0"/>
    <s v="Bob Smith"/>
    <s v="Credit Card"/>
  </r>
  <r>
    <s v="ORD-1037"/>
    <d v="2025-01-02T00:00:00"/>
    <s v="David Kim"/>
    <s v="david@email.com"/>
    <s v="Brisbane"/>
    <x v="0"/>
    <x v="5"/>
    <x v="2"/>
    <n v="59.99"/>
    <n v="5"/>
    <n v="0.2"/>
    <n v="299.95"/>
    <n v="59.99"/>
    <n v="239.95999999999998"/>
    <x v="3"/>
    <s v="Bob Smith"/>
    <s v="Credit 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B1963-B84E-408B-B3E1-03236493617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s">
  <location ref="K1:L17" firstHeaderRow="1" firstDataRow="1" firstDataCol="1"/>
  <pivotFields count="17">
    <pivotField showAll="0"/>
    <pivotField numFmtId="164" showAll="0"/>
    <pivotField showAll="0"/>
    <pivotField showAll="0"/>
    <pivotField showAll="0"/>
    <pivotField showAll="0"/>
    <pivotField axis="axisRow" showAll="0" sortType="descending">
      <items count="16">
        <item x="1"/>
        <item x="3"/>
        <item x="0"/>
        <item x="8"/>
        <item x="13"/>
        <item x="4"/>
        <item x="12"/>
        <item x="11"/>
        <item x="7"/>
        <item x="9"/>
        <item x="10"/>
        <item x="6"/>
        <item x="2"/>
        <item x="5"/>
        <item x="14"/>
        <item t="default"/>
      </items>
      <autoSortScope>
        <pivotArea dataOnly="0" outline="0" fieldPosition="0">
          <references count="1">
            <reference field="4294967294" count="1" selected="0">
              <x v="0"/>
            </reference>
          </references>
        </pivotArea>
      </autoSortScope>
    </pivotField>
    <pivotField showAll="0"/>
    <pivotField numFmtId="44" showAll="0"/>
    <pivotField showAll="0"/>
    <pivotField numFmtId="9" showAll="0"/>
    <pivotField numFmtId="44" showAll="0"/>
    <pivotField numFmtId="44" showAll="0"/>
    <pivotField dataField="1" showAll="0"/>
    <pivotField showAll="0"/>
    <pivotField showAll="0"/>
    <pivotField showAll="0"/>
  </pivotFields>
  <rowFields count="1">
    <field x="6"/>
  </rowFields>
  <rowItems count="16">
    <i>
      <x v="5"/>
    </i>
    <i>
      <x v="6"/>
    </i>
    <i>
      <x v="1"/>
    </i>
    <i>
      <x v="10"/>
    </i>
    <i>
      <x/>
    </i>
    <i>
      <x v="3"/>
    </i>
    <i>
      <x v="4"/>
    </i>
    <i>
      <x v="13"/>
    </i>
    <i>
      <x v="2"/>
    </i>
    <i>
      <x v="11"/>
    </i>
    <i>
      <x v="12"/>
    </i>
    <i>
      <x v="7"/>
    </i>
    <i>
      <x v="9"/>
    </i>
    <i>
      <x v="14"/>
    </i>
    <i>
      <x v="8"/>
    </i>
    <i t="grand">
      <x/>
    </i>
  </rowItems>
  <colItems count="1">
    <i/>
  </colItems>
  <dataFields count="1">
    <dataField name="Final Amount" fld="13" baseField="6" baseItem="0" numFmtId="44"/>
  </dataFields>
  <formats count="1">
    <format dxfId="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0C2CA0-79C4-4AE4-A716-9422E846DB24}" name="PivotTable7" cacheId="1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5:J135" firstHeaderRow="1" firstDataRow="1" firstDataCol="1"/>
  <pivotFields count="2">
    <pivotField axis="axisRow" allDrilled="1"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dataField="1" subtotalTop="0" showAll="0" defaultSubtotal="0"/>
  </pivotFields>
  <rowFields count="1">
    <field x="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Final Amount ($)" fld="1"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Tutorial_90mi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430296-DC56-4D25-B2BF-CDDBF87A84B9}" name="PivotTable6" cacheId="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7:K42" firstHeaderRow="0" firstDataRow="1" firstDataCol="1"/>
  <pivotFields count="3">
    <pivotField axis="axisRow" allDrilled="1" subtotalTop="0" showAll="0" nonAutoSortDefault="1" defaultSubtotal="0" defaultAttributeDrillState="1">
      <items count="4">
        <item x="1"/>
        <item x="0"/>
        <item x="3"/>
        <item x="2"/>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Final Amount ($)" fld="2" baseField="0" baseItem="0"/>
    <dataField name="Count of Order ID" fld="1" subtotal="count"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Tutorial_90mi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EA52B5-65B8-40C6-AA67-94860374162E}" name="PivotTable3" cacheId="1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6:O33"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name="Sum of Final Amount ($)" fld="2"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Tutorial_90mi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C667FD-F745-4CA3-89CA-27B9707A4DBA}" name="PivotTable1"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Final Amount ($)" fld="1" baseField="0" baseItem="0"/>
  </dataFields>
  <pivotHierarchies count="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Tutorial_90min.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34A179-28B1-4D47-9460-BCB5E7ED32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5:M12" firstHeaderRow="1" firstDataRow="2" firstDataCol="1"/>
  <pivotFields count="17">
    <pivotField showAll="0"/>
    <pivotField numFmtId="164" showAll="0"/>
    <pivotField showAll="0"/>
    <pivotField showAll="0"/>
    <pivotField showAll="0"/>
    <pivotField axis="axisRow" multipleItemSelectionAllowed="1" showAll="0">
      <items count="6">
        <item x="2"/>
        <item x="0"/>
        <item x="3"/>
        <item x="4"/>
        <item x="1"/>
        <item t="default"/>
      </items>
    </pivotField>
    <pivotField showAll="0">
      <items count="16">
        <item x="1"/>
        <item x="3"/>
        <item x="0"/>
        <item x="8"/>
        <item x="13"/>
        <item x="4"/>
        <item x="12"/>
        <item x="11"/>
        <item x="7"/>
        <item x="9"/>
        <item x="10"/>
        <item x="6"/>
        <item x="2"/>
        <item x="5"/>
        <item x="14"/>
        <item t="default"/>
      </items>
    </pivotField>
    <pivotField axis="axisCol" showAll="0">
      <items count="4">
        <item x="1"/>
        <item x="0"/>
        <item x="2"/>
        <item t="default"/>
      </items>
    </pivotField>
    <pivotField numFmtId="44" showAll="0"/>
    <pivotField showAll="0"/>
    <pivotField numFmtId="9" showAll="0"/>
    <pivotField numFmtId="44" showAll="0"/>
    <pivotField numFmtId="44" showAll="0"/>
    <pivotField dataField="1" showAll="0"/>
    <pivotField showAll="0">
      <items count="5">
        <item x="0"/>
        <item x="2"/>
        <item x="1"/>
        <item x="3"/>
        <item t="default"/>
      </items>
    </pivotField>
    <pivotField showAll="0"/>
    <pivotField showAll="0"/>
  </pivotFields>
  <rowFields count="1">
    <field x="5"/>
  </rowFields>
  <rowItems count="6">
    <i>
      <x/>
    </i>
    <i>
      <x v="1"/>
    </i>
    <i>
      <x v="2"/>
    </i>
    <i>
      <x v="3"/>
    </i>
    <i>
      <x v="4"/>
    </i>
    <i t="grand">
      <x/>
    </i>
  </rowItems>
  <colFields count="1">
    <field x="7"/>
  </colFields>
  <colItems count="4">
    <i>
      <x/>
    </i>
    <i>
      <x v="1"/>
    </i>
    <i>
      <x v="2"/>
    </i>
    <i t="grand">
      <x/>
    </i>
  </colItems>
  <dataFields count="1">
    <dataField name="Sum of Final Amount ($)"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641F25F0-2E11-405B-A0A7-E20046AB08E5}" autoFormatId="16" applyNumberFormats="0" applyBorderFormats="0" applyFontFormats="0" applyPatternFormats="0" applyAlignmentFormats="0" applyWidthHeightFormats="0">
  <queryTableRefresh nextId="17">
    <queryTableFields count="16">
      <queryTableField id="1" name="Campaign_ID" tableColumnId="1"/>
      <queryTableField id="2" name="Campaign_Name" tableColumnId="2"/>
      <queryTableField id="3" name="Channel" tableColumnId="3"/>
      <queryTableField id="4" name="Campaign_Type" tableColumnId="4"/>
      <queryTableField id="5" name="Quarter" tableColumnId="5"/>
      <queryTableField id="6" name="Start_Date" tableColumnId="6"/>
      <queryTableField id="7" name="End_Date" tableColumnId="7"/>
      <queryTableField id="8" name="Region" tableColumnId="8"/>
      <queryTableField id="9" name="Budget" tableColumnId="9"/>
      <queryTableField id="10" name="Spend" tableColumnId="10"/>
      <queryTableField id="11" name="Impressions" tableColumnId="11"/>
      <queryTableField id="12" name="Clicks" tableColumnId="12"/>
      <queryTableField id="13" name="Conversions" tableColumnId="13"/>
      <queryTableField id="14" name="Revenue" tableColumnId="14"/>
      <queryTableField id="15" name="Target_CPA" tableColumnId="15"/>
      <queryTableField id="16" name="Target_ROAS"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9B78028-592A-492A-BFCE-0D62AA748E40}" autoFormatId="16" applyNumberFormats="0" applyBorderFormats="0" applyFontFormats="0" applyPatternFormats="0" applyAlignmentFormats="0" applyWidthHeightFormats="0">
  <queryTableRefresh nextId="18">
    <queryTableFields count="17">
      <queryTableField id="1" name="Table2[Order ID]" tableColumnId="1"/>
      <queryTableField id="2" name="Table2[Order Date]" tableColumnId="2"/>
      <queryTableField id="3" name="Table2[Customer Name]" tableColumnId="3"/>
      <queryTableField id="4" name="Table2[Email]" tableColumnId="4"/>
      <queryTableField id="5" name="Table2[City]" tableColumnId="5"/>
      <queryTableField id="6" name="Table2[State]" tableColumnId="6"/>
      <queryTableField id="7" name="Table2[Product]" tableColumnId="7"/>
      <queryTableField id="8" name="Table2[Category]" tableColumnId="8"/>
      <queryTableField id="9" name="Table2[Unit Price ($)]" tableColumnId="9"/>
      <queryTableField id="10" name="Table2[Quantity]" tableColumnId="10"/>
      <queryTableField id="11" name="Table2[Discount %]" tableColumnId="11"/>
      <queryTableField id="12" name="Table2[Total Before Discount ($)]" tableColumnId="12"/>
      <queryTableField id="13" name="Table2[Discount Amount ($)]" tableColumnId="13"/>
      <queryTableField id="14" name="Table2[Final Amount ($)]" tableColumnId="14"/>
      <queryTableField id="15" name="Table2[Status]" tableColumnId="15"/>
      <queryTableField id="16" name="Table2[Sales Rep]" tableColumnId="16"/>
      <queryTableField id="17" name="Table2[Payment Method]" tableColumnId="17"/>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18F91D4-89DC-4B0F-9D09-16E1ED9FC58D}" autoFormatId="16" applyNumberFormats="0" applyBorderFormats="0" applyFontFormats="0" applyPatternFormats="0" applyAlignmentFormats="0" applyWidthHeightFormats="0">
  <queryTableRefresh nextId="20">
    <queryTableFields count="19">
      <queryTableField id="1" name="Table2[Order ID]" tableColumnId="1"/>
      <queryTableField id="2" name="Table2[Order Date]" tableColumnId="2"/>
      <queryTableField id="3" name="Table2[Customer Name]" tableColumnId="3"/>
      <queryTableField id="4" name="Table2[Email]" tableColumnId="4"/>
      <queryTableField id="5" name="Table2[City]" tableColumnId="5"/>
      <queryTableField id="6" name="Table2[State]" tableColumnId="6"/>
      <queryTableField id="7" name="Table2[Product]" tableColumnId="7"/>
      <queryTableField id="8" name="Table2[Category]" tableColumnId="8"/>
      <queryTableField id="9" name="Table2[Unit Price ($)]" tableColumnId="9"/>
      <queryTableField id="10" name="Table2[Quantity]" tableColumnId="10"/>
      <queryTableField id="11" name="Table2[Discount %]" tableColumnId="11"/>
      <queryTableField id="12" name="Table2[Total Before Discount ($)]" tableColumnId="12"/>
      <queryTableField id="13" name="Table2[Discount Amount ($)]" tableColumnId="13"/>
      <queryTableField id="14" name="Table2[Final Amount ($)]" tableColumnId="14"/>
      <queryTableField id="15" name="Table2[Status]" tableColumnId="15"/>
      <queryTableField id="16" name="Table2[Sales Rep]" tableColumnId="16"/>
      <queryTableField id="17" name="Table2[Payment Method]" tableColumnId="17"/>
      <queryTableField id="18" name="Table2[Order Date (Month)]" tableColumnId="18"/>
      <queryTableField id="19" name="Table2[Order Date (Month Index)]" tableColumnId="19"/>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DA29C248-49AE-40A4-B7D0-BBF089403DA5}" autoFormatId="16" applyNumberFormats="0" applyBorderFormats="0" applyFontFormats="0" applyPatternFormats="0" applyAlignmentFormats="0" applyWidthHeightFormats="0">
  <queryTableRefresh nextId="20">
    <queryTableFields count="19">
      <queryTableField id="1" name="Table2[Order ID]" tableColumnId="1"/>
      <queryTableField id="2" name="Table2[Order Date]" tableColumnId="2"/>
      <queryTableField id="3" name="Table2[Customer Name]" tableColumnId="3"/>
      <queryTableField id="4" name="Table2[Email]" tableColumnId="4"/>
      <queryTableField id="5" name="Table2[City]" tableColumnId="5"/>
      <queryTableField id="6" name="Table2[State]" tableColumnId="6"/>
      <queryTableField id="7" name="Table2[Product]" tableColumnId="7"/>
      <queryTableField id="8" name="Table2[Category]" tableColumnId="8"/>
      <queryTableField id="9" name="Table2[Unit Price ($)]" tableColumnId="9"/>
      <queryTableField id="10" name="Table2[Quantity]" tableColumnId="10"/>
      <queryTableField id="11" name="Table2[Discount %]" tableColumnId="11"/>
      <queryTableField id="12" name="Table2[Total Before Discount ($)]" tableColumnId="12"/>
      <queryTableField id="13" name="Table2[Discount Amount ($)]" tableColumnId="13"/>
      <queryTableField id="14" name="Table2[Final Amount ($)]" tableColumnId="14"/>
      <queryTableField id="15" name="Table2[Status]" tableColumnId="15"/>
      <queryTableField id="16" name="Table2[Sales Rep]" tableColumnId="16"/>
      <queryTableField id="17" name="Table2[Payment Method]" tableColumnId="17"/>
      <queryTableField id="18" name="Table2[Order Date (Month)]" tableColumnId="18"/>
      <queryTableField id="19" name="Table2[Order Date (Month Index)]" tableColumnId="19"/>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D30A8657-2BF2-4C9B-B968-8B2881544C16}" autoFormatId="16" applyNumberFormats="0" applyBorderFormats="0" applyFontFormats="0" applyPatternFormats="0" applyAlignmentFormats="0" applyWidthHeightFormats="0">
  <queryTableRefresh nextId="20">
    <queryTableFields count="19">
      <queryTableField id="1" name="Table2[Order ID]" tableColumnId="1"/>
      <queryTableField id="2" name="Table2[Order Date]" tableColumnId="2"/>
      <queryTableField id="3" name="Table2[Customer Name]" tableColumnId="3"/>
      <queryTableField id="4" name="Table2[Email]" tableColumnId="4"/>
      <queryTableField id="5" name="Table2[City]" tableColumnId="5"/>
      <queryTableField id="6" name="Table2[State]" tableColumnId="6"/>
      <queryTableField id="7" name="Table2[Product]" tableColumnId="7"/>
      <queryTableField id="8" name="Table2[Category]" tableColumnId="8"/>
      <queryTableField id="9" name="Table2[Unit Price ($)]" tableColumnId="9"/>
      <queryTableField id="10" name="Table2[Quantity]" tableColumnId="10"/>
      <queryTableField id="11" name="Table2[Discount %]" tableColumnId="11"/>
      <queryTableField id="12" name="Table2[Total Before Discount ($)]" tableColumnId="12"/>
      <queryTableField id="13" name="Table2[Discount Amount ($)]" tableColumnId="13"/>
      <queryTableField id="14" name="Table2[Final Amount ($)]" tableColumnId="14"/>
      <queryTableField id="15" name="Table2[Status]" tableColumnId="15"/>
      <queryTableField id="16" name="Table2[Sales Rep]" tableColumnId="16"/>
      <queryTableField id="17" name="Table2[Payment Method]" tableColumnId="17"/>
      <queryTableField id="18" name="Table2[Order Date (Month)]" tableColumnId="18"/>
      <queryTableField id="19" name="Table2[Order Date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6598703-C3BB-4F99-A82F-F961A197E926}" sourceName="Status">
  <pivotTables>
    <pivotTable tabId="9" name="PivotTable2"/>
  </pivotTables>
  <data>
    <tabular pivotCacheId="1241729694">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7E4CC05-FBDA-42DA-AE18-A9157E376FF1}" cache="Slicer_Status" caption="Status"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33327-1C94-4925-ABD3-ED83B1BB6046}" name="Table1" displayName="Table1" ref="C23:G34" totalsRowCount="1">
  <autoFilter ref="C23:G33" xr:uid="{13633327-1C94-4925-ABD3-ED83B1BB6046}"/>
  <tableColumns count="5">
    <tableColumn id="1" xr3:uid="{D7B64337-5503-456E-AF67-8268F53DCB93}" name="Column1" totalsRowLabel="Total"/>
    <tableColumn id="2" xr3:uid="{68B42AEC-4469-4C27-B056-F4445C36F25C}" name="Column2"/>
    <tableColumn id="3" xr3:uid="{5952A479-FB36-4D8B-97AF-28F1A38D47D1}" name="Column3"/>
    <tableColumn id="4" xr3:uid="{414CA8A6-B770-4A15-B512-D952F3EE0D8E}" name="Column4"/>
    <tableColumn id="5" xr3:uid="{EC72EA7D-51C2-4BB0-98D3-0DF4793D0F72}" name="Column5" totalsRowFunction="mi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66419A-B84F-4CFD-AD97-CE62B213EA90}" name="Table2" displayName="Table2" ref="A3:Q106" totalsRowCount="1" headerRowDxfId="42" headerRowBorderDxfId="41" tableBorderDxfId="40" totalsRowBorderDxfId="39">
  <autoFilter ref="A3:Q105" xr:uid="{00000000-0009-0000-0000-000001000000}"/>
  <sortState xmlns:xlrd2="http://schemas.microsoft.com/office/spreadsheetml/2017/richdata2" ref="A4:Q105">
    <sortCondition descending="1" ref="N3:N105"/>
  </sortState>
  <tableColumns count="17">
    <tableColumn id="1" xr3:uid="{5CE75D04-7D4E-4DB6-8E4E-53C94EF62D63}" name="Order ID" totalsRowLabel="Total" dataDxfId="38" totalsRowDxfId="37"/>
    <tableColumn id="2" xr3:uid="{9F6364BF-E2F8-4493-878A-E4B6165755E5}" name="Order Date" dataDxfId="36" totalsRowDxfId="35"/>
    <tableColumn id="3" xr3:uid="{05C338ED-9DE7-421B-AAEE-EE502AFE0BD7}" name="Customer Name" dataDxfId="34" totalsRowDxfId="33"/>
    <tableColumn id="4" xr3:uid="{18F1153B-5E75-4FCB-9252-6253DA085906}" name="Email" dataDxfId="32" totalsRowDxfId="31"/>
    <tableColumn id="5" xr3:uid="{C26D2249-0B74-4C5C-9525-94CD8135BE90}" name="City" dataDxfId="30" totalsRowDxfId="29"/>
    <tableColumn id="6" xr3:uid="{CD308635-19A9-4194-A74F-F4D80F963110}" name="State" dataDxfId="28" totalsRowDxfId="27"/>
    <tableColumn id="7" xr3:uid="{1B1FA056-8C8C-4E34-9296-A34D120FBD76}" name="Product" dataDxfId="26" totalsRowDxfId="25"/>
    <tableColumn id="8" xr3:uid="{B3226B00-05BB-41E9-8332-0E2E2269EB27}" name="Category" dataDxfId="24" totalsRowDxfId="23"/>
    <tableColumn id="9" xr3:uid="{5436E04C-86EA-4417-B372-9A9C74F659E2}" name="Unit Price ($)" totalsRowFunction="average" dataDxfId="22" totalsRowDxfId="21" dataCellStyle="Currency"/>
    <tableColumn id="10" xr3:uid="{BEB87154-8BAD-4E9D-AD9D-FFBAF36DD34C}" name="Quantity" totalsRowFunction="sum" dataDxfId="20" totalsRowDxfId="19"/>
    <tableColumn id="11" xr3:uid="{9D25B048-F163-42FB-90EF-8976CDE294AF}" name="Discount %" dataDxfId="18" totalsRowDxfId="17"/>
    <tableColumn id="12" xr3:uid="{425988B6-E4D7-440B-9504-891E81637B96}" name="Total Before Discount ($)" dataDxfId="16" totalsRowDxfId="15" dataCellStyle="Currency">
      <calculatedColumnFormula>I4*J4</calculatedColumnFormula>
    </tableColumn>
    <tableColumn id="13" xr3:uid="{02C3F2E0-FEB7-4479-9FAB-C37EF563D53D}" name="Discount Amount ($)" dataDxfId="14" totalsRowDxfId="13" dataCellStyle="Currency">
      <calculatedColumnFormula>L4*K4</calculatedColumnFormula>
    </tableColumn>
    <tableColumn id="14" xr3:uid="{51E7CE04-B0AB-4120-BEC1-502BB72DCA44}" name="Final Amount ($)" dataDxfId="12" totalsRowDxfId="11" dataCellStyle="Currency">
      <calculatedColumnFormula>L4-M4</calculatedColumnFormula>
    </tableColumn>
    <tableColumn id="15" xr3:uid="{FDA1B617-AEE2-46E9-AB3D-BBEEAD510B62}" name="Status" dataDxfId="10" totalsRowDxfId="9"/>
    <tableColumn id="16" xr3:uid="{9550C995-C262-4EC0-A45A-8F1EBC58A4D3}" name="Sales Rep" dataDxfId="8" totalsRowDxfId="7"/>
    <tableColumn id="17" xr3:uid="{BBA60EFC-CFA5-4762-B431-4808194E0B7D}" name="Payment Method" totalsRowFunction="count" dataDxfId="6" totalsRowDxfId="5"/>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ADAAAE-1B78-4276-84DC-776A741D523C}" name="Campaign_Data" displayName="Campaign_Data" ref="A1:P25" tableType="queryTable" totalsRowShown="0">
  <autoFilter ref="A1:P25" xr:uid="{16ADAAAE-1B78-4276-84DC-776A741D523C}"/>
  <tableColumns count="16">
    <tableColumn id="1" xr3:uid="{3B2F66AD-0B53-4DD7-AEB3-E406249428EF}" uniqueName="1" name="Campaign_ID" queryTableFieldId="1" dataDxfId="50"/>
    <tableColumn id="2" xr3:uid="{20232008-BC6C-4EAD-9DD3-69125973C335}" uniqueName="2" name="Campaign_Name" queryTableFieldId="2" dataDxfId="49"/>
    <tableColumn id="3" xr3:uid="{7F17E2D8-F66A-407C-9593-FB5A853F6EE4}" uniqueName="3" name="Channel" queryTableFieldId="3" dataDxfId="48"/>
    <tableColumn id="4" xr3:uid="{6EA5C761-D7EC-4082-B5A7-6575A13F825E}" uniqueName="4" name="Campaign_Type" queryTableFieldId="4" dataDxfId="47"/>
    <tableColumn id="5" xr3:uid="{709A4301-C78D-4E92-83F8-587AFE546961}" uniqueName="5" name="Quarter" queryTableFieldId="5" dataDxfId="46"/>
    <tableColumn id="6" xr3:uid="{AFBEC41A-B793-4AA8-AFBF-34CC9B976E17}" uniqueName="6" name="Start_Date" queryTableFieldId="6" dataDxfId="45"/>
    <tableColumn id="7" xr3:uid="{F9B1EC5F-5EF9-4D38-B838-D869D22CC02C}" uniqueName="7" name="End_Date" queryTableFieldId="7" dataDxfId="44"/>
    <tableColumn id="8" xr3:uid="{C3F175D1-DBBF-4A87-A59B-A74C326DE33F}" uniqueName="8" name="Region" queryTableFieldId="8" dataDxfId="43"/>
    <tableColumn id="9" xr3:uid="{0406D777-532A-44BB-A53F-4B8D5A06F74E}" uniqueName="9" name="Budget" queryTableFieldId="9"/>
    <tableColumn id="10" xr3:uid="{AB13A7C5-0714-49AE-A401-99199B22CFB0}" uniqueName="10" name="Spend" queryTableFieldId="10"/>
    <tableColumn id="11" xr3:uid="{71E49E2F-F246-4DCD-B7CD-B99ED1F93859}" uniqueName="11" name="Impressions" queryTableFieldId="11"/>
    <tableColumn id="12" xr3:uid="{FE4B7A0C-A129-403A-8642-A8158D697E65}" uniqueName="12" name="Clicks" queryTableFieldId="12"/>
    <tableColumn id="13" xr3:uid="{5F0D1A30-E1A0-46E8-AC16-468B7386C8CE}" uniqueName="13" name="Conversions" queryTableFieldId="13"/>
    <tableColumn id="14" xr3:uid="{0108A4B8-6E75-4850-BC0A-C9C67E793B4C}" uniqueName="14" name="Revenue" queryTableFieldId="14"/>
    <tableColumn id="15" xr3:uid="{AE48350D-57CA-4169-B34E-A24CCDA42935}" uniqueName="15" name="Target_CPA" queryTableFieldId="15"/>
    <tableColumn id="16" xr3:uid="{D3C8F22C-A0B1-497B-97AD-F5FE1321C361}" uniqueName="16" name="Target_ROAS"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AED9C3-43AC-4E83-9071-72A8377CAB2E}" name="Table_ExternalData_1" displayName="Table_ExternalData_1" ref="A3:Q25" tableType="queryTable" totalsRowShown="0">
  <autoFilter ref="A3:Q25" xr:uid="{38AED9C3-43AC-4E83-9071-72A8377CAB2E}"/>
  <tableColumns count="17">
    <tableColumn id="1" xr3:uid="{E8AA71B4-C36E-46A4-872F-7B91F29DDDBF}" uniqueName="1" name="Table2[Order ID]" queryTableFieldId="1"/>
    <tableColumn id="2" xr3:uid="{E35832FB-B9D8-408A-A5DA-4CFE9C43EFA2}" uniqueName="2" name="Table2[Order Date]" queryTableFieldId="2" dataDxfId="3"/>
    <tableColumn id="3" xr3:uid="{68A97BB2-613C-4C02-A614-9559FD6234C1}" uniqueName="3" name="Table2[Customer Name]" queryTableFieldId="3"/>
    <tableColumn id="4" xr3:uid="{CAE8EBFA-0011-4183-B05F-9A9112C3D470}" uniqueName="4" name="Table2[Email]" queryTableFieldId="4"/>
    <tableColumn id="5" xr3:uid="{7349E698-FAF2-40DC-B221-24675F9334DD}" uniqueName="5" name="Table2[City]" queryTableFieldId="5"/>
    <tableColumn id="6" xr3:uid="{E3CDD24B-AF43-45F8-B631-06C501B7B45F}" uniqueName="6" name="Table2[State]" queryTableFieldId="6"/>
    <tableColumn id="7" xr3:uid="{6757DDDA-D218-48DE-93ED-918BADCDFA22}" uniqueName="7" name="Table2[Product]" queryTableFieldId="7"/>
    <tableColumn id="8" xr3:uid="{7A8D2CB6-7563-4D3D-8D6C-0785028851BD}" uniqueName="8" name="Table2[Category]" queryTableFieldId="8"/>
    <tableColumn id="9" xr3:uid="{A6EF98B4-4B67-4E39-8281-C85079E8A252}" uniqueName="9" name="Table2[Unit Price ($)]" queryTableFieldId="9"/>
    <tableColumn id="10" xr3:uid="{FCC0F750-789A-46C5-A2B8-44B6E1E98A16}" uniqueName="10" name="Table2[Quantity]" queryTableFieldId="10"/>
    <tableColumn id="11" xr3:uid="{753AA614-E439-49E5-8718-98B595B03361}" uniqueName="11" name="Table2[Discount %]" queryTableFieldId="11"/>
    <tableColumn id="12" xr3:uid="{368AA25C-ECAB-4838-A84B-31C5E84CE315}" uniqueName="12" name="Table2[Total Before Discount ($)]" queryTableFieldId="12"/>
    <tableColumn id="13" xr3:uid="{B1B3D06A-87C9-494E-8979-1E246E7A9C15}" uniqueName="13" name="Table2[Discount Amount ($)]" queryTableFieldId="13"/>
    <tableColumn id="14" xr3:uid="{5B932AEB-C1BD-4502-994A-DE82DE672CF8}" uniqueName="14" name="Table2[Final Amount ($)]" queryTableFieldId="14"/>
    <tableColumn id="15" xr3:uid="{F4B11C6C-9CB0-462C-A27E-BC1E283C76D6}" uniqueName="15" name="Table2[Status]" queryTableFieldId="15"/>
    <tableColumn id="16" xr3:uid="{FD706CFB-016D-4089-95D4-48F1A827159F}" uniqueName="16" name="Table2[Sales Rep]" queryTableFieldId="16"/>
    <tableColumn id="17" xr3:uid="{8EABD190-BAF1-467B-9ABB-29C267594F75}" uniqueName="17" name="Table2[Payment Method]" queryTableField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6F225F-978C-4E7B-95F7-12F3F675FD51}" name="Table_ExternalData_16" displayName="Table_ExternalData_16" ref="A3:S32" tableType="queryTable" totalsRowShown="0">
  <autoFilter ref="A3:S32" xr:uid="{A06F225F-978C-4E7B-95F7-12F3F675FD51}"/>
  <tableColumns count="19">
    <tableColumn id="1" xr3:uid="{FFC5ACF9-A024-4F09-A5EE-A3366D4C0BCB}" uniqueName="1" name="Table2[Order ID]" queryTableFieldId="1"/>
    <tableColumn id="2" xr3:uid="{83A02560-1AF0-4116-B44E-B9438338B3E3}" uniqueName="2" name="Table2[Order Date]" queryTableFieldId="2" dataDxfId="2"/>
    <tableColumn id="3" xr3:uid="{F6367CDE-9AA8-4497-B295-8897225FFFA8}" uniqueName="3" name="Table2[Customer Name]" queryTableFieldId="3"/>
    <tableColumn id="4" xr3:uid="{A667031F-9213-43F1-847A-AEE291AFD1E9}" uniqueName="4" name="Table2[Email]" queryTableFieldId="4"/>
    <tableColumn id="5" xr3:uid="{29D81B4A-EE14-4C9A-ACE1-BE0D8D9A9631}" uniqueName="5" name="Table2[City]" queryTableFieldId="5"/>
    <tableColumn id="6" xr3:uid="{EB57B927-678C-4FBF-988E-23AE4F20C3CD}" uniqueName="6" name="Table2[State]" queryTableFieldId="6"/>
    <tableColumn id="7" xr3:uid="{D9E9AAAF-5D88-49D0-817D-DF43FF9C74A9}" uniqueName="7" name="Table2[Product]" queryTableFieldId="7"/>
    <tableColumn id="8" xr3:uid="{D2DC5E66-E5F1-4158-A6E6-2042118CB1F3}" uniqueName="8" name="Table2[Category]" queryTableFieldId="8"/>
    <tableColumn id="9" xr3:uid="{AEB2E556-F64C-4C1B-937A-1DFE6FFC8FED}" uniqueName="9" name="Table2[Unit Price ($)]" queryTableFieldId="9"/>
    <tableColumn id="10" xr3:uid="{70F73902-CDF4-46E7-9E23-1E78C1B9A654}" uniqueName="10" name="Table2[Quantity]" queryTableFieldId="10"/>
    <tableColumn id="11" xr3:uid="{27E6781E-11F6-4B39-B034-11DA60B79144}" uniqueName="11" name="Table2[Discount %]" queryTableFieldId="11"/>
    <tableColumn id="12" xr3:uid="{ACA152A7-5087-42F8-AF9F-181DEBAFBD52}" uniqueName="12" name="Table2[Total Before Discount ($)]" queryTableFieldId="12"/>
    <tableColumn id="13" xr3:uid="{7F26BC4D-0496-4DD3-B572-399E1898388C}" uniqueName="13" name="Table2[Discount Amount ($)]" queryTableFieldId="13"/>
    <tableColumn id="14" xr3:uid="{55E7A49F-ED7E-4F55-AFAE-715B0EA83FDE}" uniqueName="14" name="Table2[Final Amount ($)]" queryTableFieldId="14"/>
    <tableColumn id="15" xr3:uid="{B847E2D2-E8D4-4FEA-8CDC-98FC03798327}" uniqueName="15" name="Table2[Status]" queryTableFieldId="15"/>
    <tableColumn id="16" xr3:uid="{832CB9A4-325E-4C87-860A-CB8BF38026E5}" uniqueName="16" name="Table2[Sales Rep]" queryTableFieldId="16"/>
    <tableColumn id="17" xr3:uid="{F826EB18-A4BA-4475-9620-2067BA4DFF92}" uniqueName="17" name="Table2[Payment Method]" queryTableFieldId="17"/>
    <tableColumn id="18" xr3:uid="{D5C3E9AF-F454-4D22-99AE-AF9C596CCC11}" uniqueName="18" name="Table2[Order Date (Month)]" queryTableFieldId="18"/>
    <tableColumn id="19" xr3:uid="{53B46FA4-02DE-44B3-89E6-FA7F47212B47}" uniqueName="19" name="Table2[Order Date (Month Index)]" queryTableField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3963BC2-B65B-4646-ACCA-C9345DA6CAC8}" name="Table_ExternalData_17" displayName="Table_ExternalData_17" ref="A3:S32" tableType="queryTable" totalsRowShown="0">
  <autoFilter ref="A3:S32" xr:uid="{A3963BC2-B65B-4646-ACCA-C9345DA6CAC8}"/>
  <tableColumns count="19">
    <tableColumn id="1" xr3:uid="{BCE8714A-DEE0-4FC0-8F1D-014CB6C91EAC}" uniqueName="1" name="Table2[Order ID]" queryTableFieldId="1"/>
    <tableColumn id="2" xr3:uid="{C2F73FFD-6728-45B8-B200-3406CFAC7133}" uniqueName="2" name="Table2[Order Date]" queryTableFieldId="2" dataDxfId="1"/>
    <tableColumn id="3" xr3:uid="{C32C673F-E8E4-49B9-A32E-10AFB6F35E91}" uniqueName="3" name="Table2[Customer Name]" queryTableFieldId="3"/>
    <tableColumn id="4" xr3:uid="{C551458A-BEA8-4E80-89F8-C5DA30D4F9AF}" uniqueName="4" name="Table2[Email]" queryTableFieldId="4"/>
    <tableColumn id="5" xr3:uid="{8045F2FC-982C-4A39-BE20-809C2633F1F4}" uniqueName="5" name="Table2[City]" queryTableFieldId="5"/>
    <tableColumn id="6" xr3:uid="{D7F3D607-9FD4-4850-BAE1-90C33FCF6A87}" uniqueName="6" name="Table2[State]" queryTableFieldId="6"/>
    <tableColumn id="7" xr3:uid="{ECBB1E0E-85CE-4B6E-A7F0-A01C6DF89E04}" uniqueName="7" name="Table2[Product]" queryTableFieldId="7"/>
    <tableColumn id="8" xr3:uid="{C3038922-9143-49F5-9C78-0BD8CB650388}" uniqueName="8" name="Table2[Category]" queryTableFieldId="8"/>
    <tableColumn id="9" xr3:uid="{D0AF4451-FD3F-4A74-9E31-FC55962605F5}" uniqueName="9" name="Table2[Unit Price ($)]" queryTableFieldId="9"/>
    <tableColumn id="10" xr3:uid="{49C863D9-7C9B-4D36-8A28-A5ECF6DE1A95}" uniqueName="10" name="Table2[Quantity]" queryTableFieldId="10"/>
    <tableColumn id="11" xr3:uid="{92702F52-6B30-43D5-8496-44472CEA5E2A}" uniqueName="11" name="Table2[Discount %]" queryTableFieldId="11"/>
    <tableColumn id="12" xr3:uid="{A6CB709A-80BC-4110-8A60-C5D32F847FF9}" uniqueName="12" name="Table2[Total Before Discount ($)]" queryTableFieldId="12"/>
    <tableColumn id="13" xr3:uid="{9E14D197-A029-4269-B5FD-17CAE668C3AC}" uniqueName="13" name="Table2[Discount Amount ($)]" queryTableFieldId="13"/>
    <tableColumn id="14" xr3:uid="{7F0DDAED-1B87-4230-82CB-4413699987A2}" uniqueName="14" name="Table2[Final Amount ($)]" queryTableFieldId="14"/>
    <tableColumn id="15" xr3:uid="{6B7A7F2D-E5A6-4553-89AE-A6FADF79877D}" uniqueName="15" name="Table2[Status]" queryTableFieldId="15"/>
    <tableColumn id="16" xr3:uid="{6E19D110-E0F7-4639-BD88-EADFACDB1F61}" uniqueName="16" name="Table2[Sales Rep]" queryTableFieldId="16"/>
    <tableColumn id="17" xr3:uid="{A6AA0175-ECB3-45B9-9829-07B9634892B7}" uniqueName="17" name="Table2[Payment Method]" queryTableFieldId="17"/>
    <tableColumn id="18" xr3:uid="{C8B7053C-EE3E-477E-83B8-C42C176ED929}" uniqueName="18" name="Table2[Order Date (Month)]" queryTableFieldId="18"/>
    <tableColumn id="19" xr3:uid="{B3AC44D8-2F5E-4B7B-9008-26CB693D98D3}" uniqueName="19" name="Table2[Order Date (Month Index)]" queryTableField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284AF6-C503-4887-A5B6-3BBC6E6B1D1E}" name="Table_ExternalData_18" displayName="Table_ExternalData_18" ref="A3:S32" tableType="queryTable" totalsRowShown="0">
  <autoFilter ref="A3:S32" xr:uid="{96284AF6-C503-4887-A5B6-3BBC6E6B1D1E}"/>
  <tableColumns count="19">
    <tableColumn id="1" xr3:uid="{D7746340-F1D8-407A-A4D2-877F19EFB34D}" uniqueName="1" name="Table2[Order ID]" queryTableFieldId="1"/>
    <tableColumn id="2" xr3:uid="{943CB3D2-AFF6-446F-9A8C-F80E44012F03}" uniqueName="2" name="Table2[Order Date]" queryTableFieldId="2" dataDxfId="0"/>
    <tableColumn id="3" xr3:uid="{9419C43C-1664-4012-964D-25BD781F86AA}" uniqueName="3" name="Table2[Customer Name]" queryTableFieldId="3"/>
    <tableColumn id="4" xr3:uid="{7DA75DEA-DC1E-40C8-A48F-F86D460A2B97}" uniqueName="4" name="Table2[Email]" queryTableFieldId="4"/>
    <tableColumn id="5" xr3:uid="{424DDA9E-15AA-4036-9C90-319613BA16AB}" uniqueName="5" name="Table2[City]" queryTableFieldId="5"/>
    <tableColumn id="6" xr3:uid="{3587A528-5ACA-4017-9809-03A43509C243}" uniqueName="6" name="Table2[State]" queryTableFieldId="6"/>
    <tableColumn id="7" xr3:uid="{45A76B13-3BF1-410B-807A-3D8C6374C74A}" uniqueName="7" name="Table2[Product]" queryTableFieldId="7"/>
    <tableColumn id="8" xr3:uid="{A5B18527-2CBB-4B04-B1E5-3BD51CC8D6B9}" uniqueName="8" name="Table2[Category]" queryTableFieldId="8"/>
    <tableColumn id="9" xr3:uid="{D0AD1DE7-F68C-48A1-A8FF-024F5FEBB790}" uniqueName="9" name="Table2[Unit Price ($)]" queryTableFieldId="9"/>
    <tableColumn id="10" xr3:uid="{C2193FB4-54C9-4586-A32C-3BFA63EE9BD6}" uniqueName="10" name="Table2[Quantity]" queryTableFieldId="10"/>
    <tableColumn id="11" xr3:uid="{1B73E0E0-5AB7-46A1-8156-618A7B98B673}" uniqueName="11" name="Table2[Discount %]" queryTableFieldId="11"/>
    <tableColumn id="12" xr3:uid="{EB4989EB-A399-4E92-88A9-C5348D8A3CAC}" uniqueName="12" name="Table2[Total Before Discount ($)]" queryTableFieldId="12"/>
    <tableColumn id="13" xr3:uid="{12B45841-B2BE-44B0-A7A7-D231C26134FB}" uniqueName="13" name="Table2[Discount Amount ($)]" queryTableFieldId="13"/>
    <tableColumn id="14" xr3:uid="{1DE69B78-4C4C-44B5-8F4D-135258EB129D}" uniqueName="14" name="Table2[Final Amount ($)]" queryTableFieldId="14"/>
    <tableColumn id="15" xr3:uid="{58AC4E5C-F0C2-4F4C-B3DB-3FFB301D58F8}" uniqueName="15" name="Table2[Status]" queryTableFieldId="15"/>
    <tableColumn id="16" xr3:uid="{991411BB-E9E2-4496-95F4-F1D282096D72}" uniqueName="16" name="Table2[Sales Rep]" queryTableFieldId="16"/>
    <tableColumn id="17" xr3:uid="{2D66C3FB-582F-4CDF-9F24-59C49463CF44}" uniqueName="17" name="Table2[Payment Method]" queryTableFieldId="17"/>
    <tableColumn id="18" xr3:uid="{F4F25668-1314-4661-93C1-3107BFC669AF}" uniqueName="18" name="Table2[Order Date (Month)]" queryTableFieldId="18"/>
    <tableColumn id="19" xr3:uid="{3D7B9323-85A0-44CF-A77D-AF92845F3937}" uniqueName="19" name="Table2[Order Date (Month Index)]" queryTableFieldId="1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5496"/>
  </sheetPr>
  <dimension ref="B2:L34"/>
  <sheetViews>
    <sheetView topLeftCell="A2" zoomScaleNormal="100" workbookViewId="0">
      <selection activeCell="G34" sqref="G34"/>
    </sheetView>
  </sheetViews>
  <sheetFormatPr defaultColWidth="8.7109375" defaultRowHeight="15" x14ac:dyDescent="0.25"/>
  <cols>
    <col min="2" max="2" width="18" customWidth="1"/>
    <col min="3" max="3" width="45" customWidth="1"/>
    <col min="4" max="5" width="10.5703125" customWidth="1"/>
    <col min="6" max="6" width="28" customWidth="1"/>
    <col min="7" max="7" width="10.5703125" customWidth="1"/>
  </cols>
  <sheetData>
    <row r="2" spans="2:12" ht="26.25" customHeight="1" x14ac:dyDescent="0.4">
      <c r="B2" s="49" t="s">
        <v>0</v>
      </c>
      <c r="C2" s="49"/>
      <c r="D2" s="49"/>
      <c r="E2" s="49"/>
      <c r="F2" s="49"/>
      <c r="G2" s="49"/>
      <c r="H2" s="49"/>
    </row>
    <row r="3" spans="2:12" ht="15.75" customHeight="1" x14ac:dyDescent="0.25">
      <c r="B3" s="50" t="s">
        <v>1</v>
      </c>
      <c r="C3" s="50"/>
      <c r="D3" s="50"/>
      <c r="E3" s="50"/>
      <c r="F3" s="50"/>
      <c r="G3" s="50"/>
      <c r="H3" s="50"/>
    </row>
    <row r="6" spans="2:12" ht="15" customHeight="1" x14ac:dyDescent="0.25">
      <c r="B6" s="6" t="s">
        <v>2</v>
      </c>
      <c r="C6" s="6" t="s">
        <v>3</v>
      </c>
      <c r="F6" s="6" t="s">
        <v>4</v>
      </c>
      <c r="L6">
        <v>1</v>
      </c>
    </row>
    <row r="7" spans="2:12" ht="15" customHeight="1" x14ac:dyDescent="0.25">
      <c r="B7" s="7" t="s">
        <v>5</v>
      </c>
      <c r="C7" s="7" t="s">
        <v>6</v>
      </c>
      <c r="F7" s="7" t="s">
        <v>7</v>
      </c>
      <c r="L7">
        <v>5</v>
      </c>
    </row>
    <row r="8" spans="2:12" ht="15" customHeight="1" x14ac:dyDescent="0.25">
      <c r="B8" s="8" t="s">
        <v>8</v>
      </c>
      <c r="C8" s="8" t="s">
        <v>9</v>
      </c>
      <c r="F8" s="8" t="s">
        <v>10</v>
      </c>
    </row>
    <row r="9" spans="2:12" ht="15" customHeight="1" x14ac:dyDescent="0.25">
      <c r="B9" s="7" t="s">
        <v>11</v>
      </c>
      <c r="C9" s="7" t="s">
        <v>12</v>
      </c>
      <c r="F9" s="7" t="s">
        <v>13</v>
      </c>
    </row>
    <row r="10" spans="2:12" ht="15" customHeight="1" x14ac:dyDescent="0.25">
      <c r="B10" s="8" t="s">
        <v>14</v>
      </c>
      <c r="C10" s="8" t="s">
        <v>15</v>
      </c>
      <c r="F10" s="8" t="s">
        <v>16</v>
      </c>
    </row>
    <row r="11" spans="2:12" ht="15" customHeight="1" x14ac:dyDescent="0.25">
      <c r="B11" s="7" t="s">
        <v>17</v>
      </c>
      <c r="C11" s="7" t="s">
        <v>18</v>
      </c>
      <c r="F11" s="7" t="s">
        <v>19</v>
      </c>
    </row>
    <row r="12" spans="2:12" ht="15" customHeight="1" x14ac:dyDescent="0.25">
      <c r="B12" s="8" t="s">
        <v>20</v>
      </c>
      <c r="C12" s="8" t="s">
        <v>21</v>
      </c>
      <c r="F12" s="8" t="s">
        <v>22</v>
      </c>
    </row>
    <row r="13" spans="2:12" ht="15" customHeight="1" x14ac:dyDescent="0.25">
      <c r="B13" s="7" t="s">
        <v>23</v>
      </c>
      <c r="C13" s="7" t="s">
        <v>24</v>
      </c>
      <c r="F13" s="7" t="s">
        <v>25</v>
      </c>
    </row>
    <row r="14" spans="2:12" ht="15" customHeight="1" x14ac:dyDescent="0.25">
      <c r="B14" s="8" t="s">
        <v>26</v>
      </c>
      <c r="C14" s="8" t="s">
        <v>27</v>
      </c>
      <c r="F14" s="8" t="s">
        <v>28</v>
      </c>
    </row>
    <row r="15" spans="2:12" ht="15" customHeight="1" x14ac:dyDescent="0.25">
      <c r="B15" s="7" t="s">
        <v>29</v>
      </c>
      <c r="C15" s="7" t="s">
        <v>30</v>
      </c>
      <c r="F15" s="7" t="s">
        <v>31</v>
      </c>
    </row>
    <row r="16" spans="2:12" ht="15" customHeight="1" x14ac:dyDescent="0.25">
      <c r="B16" s="8" t="s">
        <v>32</v>
      </c>
      <c r="C16" s="8" t="s">
        <v>33</v>
      </c>
      <c r="F16" s="8" t="s">
        <v>34</v>
      </c>
    </row>
    <row r="17" spans="2:8" ht="15" customHeight="1" x14ac:dyDescent="0.25">
      <c r="B17" s="51" t="s">
        <v>35</v>
      </c>
      <c r="C17" s="51"/>
      <c r="D17" s="51"/>
      <c r="E17" s="51"/>
      <c r="F17" s="51"/>
      <c r="G17" s="51"/>
      <c r="H17" s="51"/>
    </row>
    <row r="23" spans="2:8" x14ac:dyDescent="0.25">
      <c r="C23" t="s">
        <v>497</v>
      </c>
      <c r="D23" t="s">
        <v>498</v>
      </c>
      <c r="E23" t="s">
        <v>499</v>
      </c>
      <c r="F23" t="s">
        <v>500</v>
      </c>
      <c r="G23" t="s">
        <v>501</v>
      </c>
    </row>
    <row r="24" spans="2:8" x14ac:dyDescent="0.25">
      <c r="C24" t="s">
        <v>496</v>
      </c>
      <c r="D24" t="s">
        <v>496</v>
      </c>
      <c r="E24" t="s">
        <v>496</v>
      </c>
      <c r="F24" t="s">
        <v>496</v>
      </c>
      <c r="G24">
        <v>12</v>
      </c>
    </row>
    <row r="25" spans="2:8" x14ac:dyDescent="0.25">
      <c r="C25" t="s">
        <v>496</v>
      </c>
      <c r="D25" t="s">
        <v>496</v>
      </c>
      <c r="E25" t="s">
        <v>496</v>
      </c>
      <c r="F25" t="s">
        <v>496</v>
      </c>
      <c r="G25">
        <v>12</v>
      </c>
    </row>
    <row r="26" spans="2:8" x14ac:dyDescent="0.25">
      <c r="C26" t="s">
        <v>496</v>
      </c>
      <c r="D26" t="s">
        <v>496</v>
      </c>
      <c r="E26" t="s">
        <v>496</v>
      </c>
      <c r="F26" t="s">
        <v>496</v>
      </c>
      <c r="G26">
        <v>12</v>
      </c>
    </row>
    <row r="27" spans="2:8" x14ac:dyDescent="0.25">
      <c r="C27" t="s">
        <v>496</v>
      </c>
      <c r="D27" t="s">
        <v>496</v>
      </c>
      <c r="E27" t="s">
        <v>496</v>
      </c>
      <c r="F27" t="s">
        <v>496</v>
      </c>
      <c r="G27">
        <v>12</v>
      </c>
    </row>
    <row r="28" spans="2:8" x14ac:dyDescent="0.25">
      <c r="C28" t="s">
        <v>496</v>
      </c>
      <c r="D28" t="s">
        <v>496</v>
      </c>
      <c r="E28" t="s">
        <v>496</v>
      </c>
      <c r="F28" t="s">
        <v>496</v>
      </c>
      <c r="G28">
        <v>12</v>
      </c>
    </row>
    <row r="29" spans="2:8" x14ac:dyDescent="0.25">
      <c r="C29" t="s">
        <v>496</v>
      </c>
      <c r="D29" t="s">
        <v>496</v>
      </c>
      <c r="E29" t="s">
        <v>496</v>
      </c>
      <c r="F29" t="s">
        <v>496</v>
      </c>
      <c r="G29">
        <v>12</v>
      </c>
    </row>
    <row r="30" spans="2:8" x14ac:dyDescent="0.25">
      <c r="C30" t="s">
        <v>496</v>
      </c>
      <c r="D30" t="s">
        <v>496</v>
      </c>
      <c r="E30" t="s">
        <v>496</v>
      </c>
      <c r="F30" t="s">
        <v>496</v>
      </c>
      <c r="G30">
        <v>12</v>
      </c>
    </row>
    <row r="31" spans="2:8" x14ac:dyDescent="0.25">
      <c r="C31" t="s">
        <v>496</v>
      </c>
      <c r="D31" t="s">
        <v>496</v>
      </c>
      <c r="E31" t="s">
        <v>496</v>
      </c>
      <c r="F31" t="s">
        <v>496</v>
      </c>
      <c r="G31">
        <v>12</v>
      </c>
    </row>
    <row r="32" spans="2:8" x14ac:dyDescent="0.25">
      <c r="C32" t="s">
        <v>502</v>
      </c>
      <c r="G32">
        <v>12</v>
      </c>
    </row>
    <row r="33" spans="3:7" x14ac:dyDescent="0.25">
      <c r="C33" t="s">
        <v>503</v>
      </c>
      <c r="G33">
        <v>12</v>
      </c>
    </row>
    <row r="34" spans="3:7" x14ac:dyDescent="0.25">
      <c r="C34" t="s">
        <v>504</v>
      </c>
      <c r="G34">
        <f>SUBTOTAL(105,Table1[Column5])</f>
        <v>12</v>
      </c>
    </row>
  </sheetData>
  <mergeCells count="3">
    <mergeCell ref="B2:H2"/>
    <mergeCell ref="B3:H3"/>
    <mergeCell ref="B17:H17"/>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W106"/>
  <sheetViews>
    <sheetView topLeftCell="G1" zoomScaleNormal="100" workbookViewId="0">
      <selection activeCell="N4" sqref="N4:N104"/>
    </sheetView>
  </sheetViews>
  <sheetFormatPr defaultColWidth="8.7109375" defaultRowHeight="15" x14ac:dyDescent="0.25"/>
  <cols>
    <col min="1" max="1" width="14" customWidth="1"/>
    <col min="2" max="2" width="18" customWidth="1"/>
    <col min="3" max="3" width="20" customWidth="1"/>
    <col min="4" max="5" width="18" customWidth="1"/>
    <col min="6" max="6" width="18.28515625" customWidth="1"/>
    <col min="7" max="11" width="18" customWidth="1"/>
    <col min="12" max="12" width="29.28515625" customWidth="1"/>
    <col min="13" max="13" width="24.5703125" customWidth="1"/>
    <col min="14" max="14" width="20.140625" customWidth="1"/>
    <col min="15" max="16" width="18" customWidth="1"/>
    <col min="17" max="17" width="20.7109375" customWidth="1"/>
    <col min="19" max="19" width="3.140625" customWidth="1"/>
    <col min="20" max="21" width="8.7109375" hidden="1" customWidth="1"/>
    <col min="22" max="22" width="54.42578125" customWidth="1"/>
  </cols>
  <sheetData>
    <row r="1" spans="1:23" x14ac:dyDescent="0.25">
      <c r="M1" s="10" t="s">
        <v>110</v>
      </c>
      <c r="N1" s="41">
        <f>SUMIFS(Table2[Final Amount ($)],Table2[Category],M1,Table2[Status],"Delivered")</f>
        <v>11527.950499999997</v>
      </c>
    </row>
    <row r="3" spans="1:23" ht="26.25" customHeight="1" x14ac:dyDescent="0.25">
      <c r="A3" s="29" t="s">
        <v>36</v>
      </c>
      <c r="B3" s="30" t="s">
        <v>37</v>
      </c>
      <c r="C3" s="30" t="s">
        <v>38</v>
      </c>
      <c r="D3" s="30" t="s">
        <v>39</v>
      </c>
      <c r="E3" s="30" t="s">
        <v>40</v>
      </c>
      <c r="F3" s="30" t="s">
        <v>41</v>
      </c>
      <c r="G3" s="30" t="s">
        <v>42</v>
      </c>
      <c r="H3" s="30" t="s">
        <v>43</v>
      </c>
      <c r="I3" s="30" t="s">
        <v>44</v>
      </c>
      <c r="J3" s="30" t="s">
        <v>45</v>
      </c>
      <c r="K3" s="30" t="s">
        <v>46</v>
      </c>
      <c r="L3" s="30" t="s">
        <v>47</v>
      </c>
      <c r="M3" s="30" t="s">
        <v>48</v>
      </c>
      <c r="N3" s="30" t="s">
        <v>49</v>
      </c>
      <c r="O3" s="30" t="s">
        <v>50</v>
      </c>
      <c r="P3" s="30" t="s">
        <v>51</v>
      </c>
      <c r="Q3" s="31" t="s">
        <v>52</v>
      </c>
    </row>
    <row r="4" spans="1:23" ht="15" customHeight="1" x14ac:dyDescent="0.25">
      <c r="A4" s="27" t="s">
        <v>112</v>
      </c>
      <c r="B4" s="11">
        <v>45704</v>
      </c>
      <c r="C4" s="10" t="s">
        <v>86</v>
      </c>
      <c r="D4" s="10" t="s">
        <v>87</v>
      </c>
      <c r="E4" s="10" t="s">
        <v>88</v>
      </c>
      <c r="F4" s="10" t="s">
        <v>89</v>
      </c>
      <c r="G4" s="10" t="s">
        <v>113</v>
      </c>
      <c r="H4" s="10" t="s">
        <v>69</v>
      </c>
      <c r="I4" s="26">
        <v>899.99</v>
      </c>
      <c r="J4" s="10">
        <v>5</v>
      </c>
      <c r="K4" s="12">
        <v>0</v>
      </c>
      <c r="L4" s="26">
        <f>I4*J4</f>
        <v>4499.95</v>
      </c>
      <c r="M4" s="26">
        <f>L4*K4</f>
        <v>0</v>
      </c>
      <c r="N4" s="26">
        <f>L4-M4</f>
        <v>4499.95</v>
      </c>
      <c r="O4" s="10" t="s">
        <v>70</v>
      </c>
      <c r="P4" s="10" t="s">
        <v>61</v>
      </c>
      <c r="Q4" s="28" t="s">
        <v>62</v>
      </c>
      <c r="T4" s="52" t="s">
        <v>242</v>
      </c>
      <c r="U4" s="52"/>
      <c r="V4" s="52"/>
      <c r="W4" s="52"/>
    </row>
    <row r="5" spans="1:23" ht="15" customHeight="1" x14ac:dyDescent="0.25">
      <c r="A5" s="27" t="s">
        <v>195</v>
      </c>
      <c r="B5" s="11">
        <v>45948</v>
      </c>
      <c r="C5" s="10" t="s">
        <v>81</v>
      </c>
      <c r="D5" s="10" t="s">
        <v>82</v>
      </c>
      <c r="E5" s="10" t="s">
        <v>76</v>
      </c>
      <c r="F5" s="10" t="s">
        <v>77</v>
      </c>
      <c r="G5" s="10" t="s">
        <v>113</v>
      </c>
      <c r="H5" s="10" t="s">
        <v>69</v>
      </c>
      <c r="I5" s="26">
        <v>899.99</v>
      </c>
      <c r="J5" s="10">
        <v>5</v>
      </c>
      <c r="K5" s="12">
        <v>0.1</v>
      </c>
      <c r="L5" s="26">
        <f>I5*J5</f>
        <v>4499.95</v>
      </c>
      <c r="M5" s="26">
        <f>L5*K5</f>
        <v>449.995</v>
      </c>
      <c r="N5" s="26">
        <f>L5-M5</f>
        <v>4049.9549999999999</v>
      </c>
      <c r="O5" s="10" t="s">
        <v>111</v>
      </c>
      <c r="P5" s="10" t="s">
        <v>71</v>
      </c>
      <c r="Q5" s="28" t="s">
        <v>62</v>
      </c>
      <c r="V5" s="41"/>
    </row>
    <row r="6" spans="1:23" ht="15" customHeight="1" x14ac:dyDescent="0.25">
      <c r="A6" s="27" t="s">
        <v>212</v>
      </c>
      <c r="B6" s="11">
        <v>46005</v>
      </c>
      <c r="C6" s="10" t="s">
        <v>92</v>
      </c>
      <c r="D6" s="10" t="s">
        <v>93</v>
      </c>
      <c r="E6" s="10" t="s">
        <v>66</v>
      </c>
      <c r="F6" s="10" t="s">
        <v>67</v>
      </c>
      <c r="G6" s="10" t="s">
        <v>113</v>
      </c>
      <c r="H6" s="10" t="s">
        <v>69</v>
      </c>
      <c r="I6" s="26">
        <v>899.99</v>
      </c>
      <c r="J6" s="10">
        <v>5</v>
      </c>
      <c r="K6" s="12">
        <v>0.15</v>
      </c>
      <c r="L6" s="26">
        <f>I6*J6</f>
        <v>4499.95</v>
      </c>
      <c r="M6" s="26">
        <f>L6*K6</f>
        <v>674.99249999999995</v>
      </c>
      <c r="N6" s="26">
        <f>L6-M6</f>
        <v>3824.9575</v>
      </c>
      <c r="O6" s="10" t="s">
        <v>111</v>
      </c>
      <c r="P6" s="10" t="s">
        <v>61</v>
      </c>
      <c r="Q6" s="28" t="s">
        <v>84</v>
      </c>
    </row>
    <row r="7" spans="1:23" ht="15" customHeight="1" x14ac:dyDescent="0.25">
      <c r="A7" s="27" t="s">
        <v>119</v>
      </c>
      <c r="B7" s="11">
        <v>45707</v>
      </c>
      <c r="C7" s="10" t="s">
        <v>97</v>
      </c>
      <c r="D7" s="10" t="s">
        <v>98</v>
      </c>
      <c r="E7" s="10" t="s">
        <v>88</v>
      </c>
      <c r="F7" s="10" t="s">
        <v>89</v>
      </c>
      <c r="G7" s="10" t="s">
        <v>113</v>
      </c>
      <c r="H7" s="10" t="s">
        <v>69</v>
      </c>
      <c r="I7" s="26">
        <v>899.99</v>
      </c>
      <c r="J7" s="10">
        <v>5</v>
      </c>
      <c r="K7" s="12">
        <v>0.15</v>
      </c>
      <c r="L7" s="26">
        <f>I7*J7</f>
        <v>4499.95</v>
      </c>
      <c r="M7" s="26">
        <f>L7*K7</f>
        <v>674.99249999999995</v>
      </c>
      <c r="N7" s="26">
        <f>L7-M7</f>
        <v>3824.9575</v>
      </c>
      <c r="O7" s="10" t="s">
        <v>70</v>
      </c>
      <c r="P7" s="10" t="s">
        <v>79</v>
      </c>
      <c r="Q7" s="28" t="s">
        <v>72</v>
      </c>
    </row>
    <row r="8" spans="1:23" ht="15" customHeight="1" x14ac:dyDescent="0.25">
      <c r="A8" s="27" t="s">
        <v>180</v>
      </c>
      <c r="B8" s="11">
        <v>45883</v>
      </c>
      <c r="C8" s="10" t="s">
        <v>148</v>
      </c>
      <c r="D8" s="10" t="s">
        <v>149</v>
      </c>
      <c r="E8" s="10" t="s">
        <v>117</v>
      </c>
      <c r="F8" s="10" t="s">
        <v>118</v>
      </c>
      <c r="G8" s="10" t="s">
        <v>113</v>
      </c>
      <c r="H8" s="10" t="s">
        <v>69</v>
      </c>
      <c r="I8" s="26">
        <v>899.99</v>
      </c>
      <c r="J8" s="10">
        <v>4</v>
      </c>
      <c r="K8" s="12">
        <v>0.05</v>
      </c>
      <c r="L8" s="26">
        <f>I8*J8</f>
        <v>3599.96</v>
      </c>
      <c r="M8" s="26">
        <f>L8*K8</f>
        <v>179.99800000000002</v>
      </c>
      <c r="N8" s="26">
        <f>L8-M8</f>
        <v>3419.962</v>
      </c>
      <c r="O8" s="10" t="s">
        <v>83</v>
      </c>
      <c r="P8" s="10" t="s">
        <v>71</v>
      </c>
      <c r="Q8" s="28" t="s">
        <v>62</v>
      </c>
    </row>
    <row r="9" spans="1:23" ht="15" customHeight="1" x14ac:dyDescent="0.25">
      <c r="A9" s="27" t="s">
        <v>201</v>
      </c>
      <c r="B9" s="11">
        <v>45965</v>
      </c>
      <c r="C9" s="10" t="s">
        <v>86</v>
      </c>
      <c r="D9" s="10" t="s">
        <v>87</v>
      </c>
      <c r="E9" s="10" t="s">
        <v>88</v>
      </c>
      <c r="F9" s="10" t="s">
        <v>89</v>
      </c>
      <c r="G9" s="10" t="s">
        <v>113</v>
      </c>
      <c r="H9" s="10" t="s">
        <v>69</v>
      </c>
      <c r="I9" s="26">
        <v>899.99</v>
      </c>
      <c r="J9" s="10">
        <v>3</v>
      </c>
      <c r="K9" s="12">
        <v>0</v>
      </c>
      <c r="L9" s="26">
        <f>I9*J9</f>
        <v>2699.9700000000003</v>
      </c>
      <c r="M9" s="26">
        <f>L9*K9</f>
        <v>0</v>
      </c>
      <c r="N9" s="26">
        <f>L9-M9</f>
        <v>2699.9700000000003</v>
      </c>
      <c r="O9" s="10" t="s">
        <v>70</v>
      </c>
      <c r="P9" s="10" t="s">
        <v>61</v>
      </c>
      <c r="Q9" s="28" t="s">
        <v>62</v>
      </c>
    </row>
    <row r="10" spans="1:23" ht="15" customHeight="1" x14ac:dyDescent="0.25">
      <c r="A10" s="27" t="s">
        <v>106</v>
      </c>
      <c r="B10" s="11">
        <v>45703</v>
      </c>
      <c r="C10" s="10" t="s">
        <v>107</v>
      </c>
      <c r="D10" s="10" t="s">
        <v>108</v>
      </c>
      <c r="E10" s="10" t="s">
        <v>76</v>
      </c>
      <c r="F10" s="10" t="s">
        <v>77</v>
      </c>
      <c r="G10" s="10" t="s">
        <v>109</v>
      </c>
      <c r="H10" s="10" t="s">
        <v>110</v>
      </c>
      <c r="I10" s="26">
        <v>499.99</v>
      </c>
      <c r="J10" s="10">
        <v>5</v>
      </c>
      <c r="K10" s="12">
        <v>0</v>
      </c>
      <c r="L10" s="26">
        <f>I10*J10</f>
        <v>2499.9499999999998</v>
      </c>
      <c r="M10" s="26">
        <f>L10*K10</f>
        <v>0</v>
      </c>
      <c r="N10" s="26">
        <f>L10-M10</f>
        <v>2499.9499999999998</v>
      </c>
      <c r="O10" s="10" t="s">
        <v>111</v>
      </c>
      <c r="P10" s="10" t="s">
        <v>79</v>
      </c>
      <c r="Q10" s="28" t="s">
        <v>62</v>
      </c>
    </row>
    <row r="11" spans="1:23" ht="15" customHeight="1" x14ac:dyDescent="0.25">
      <c r="A11" s="27" t="s">
        <v>173</v>
      </c>
      <c r="B11" s="11">
        <v>45854</v>
      </c>
      <c r="C11" s="10" t="s">
        <v>100</v>
      </c>
      <c r="D11" s="10" t="s">
        <v>101</v>
      </c>
      <c r="E11" s="10" t="s">
        <v>66</v>
      </c>
      <c r="F11" s="10" t="s">
        <v>67</v>
      </c>
      <c r="G11" s="10" t="s">
        <v>113</v>
      </c>
      <c r="H11" s="10" t="s">
        <v>69</v>
      </c>
      <c r="I11" s="26">
        <v>899.99</v>
      </c>
      <c r="J11" s="10">
        <v>3</v>
      </c>
      <c r="K11" s="12">
        <v>0.2</v>
      </c>
      <c r="L11" s="26">
        <f>I11*J11</f>
        <v>2699.9700000000003</v>
      </c>
      <c r="M11" s="26">
        <f>L11*K11</f>
        <v>539.99400000000003</v>
      </c>
      <c r="N11" s="26">
        <f>L11-M11</f>
        <v>2159.9760000000001</v>
      </c>
      <c r="O11" s="10" t="s">
        <v>70</v>
      </c>
      <c r="P11" s="10" t="s">
        <v>79</v>
      </c>
      <c r="Q11" s="28" t="s">
        <v>62</v>
      </c>
    </row>
    <row r="12" spans="1:23" ht="15" customHeight="1" x14ac:dyDescent="0.25">
      <c r="A12" s="27" t="s">
        <v>131</v>
      </c>
      <c r="B12" s="11">
        <v>45730</v>
      </c>
      <c r="C12" s="10" t="s">
        <v>132</v>
      </c>
      <c r="D12" s="10" t="s">
        <v>133</v>
      </c>
      <c r="E12" s="10" t="s">
        <v>56</v>
      </c>
      <c r="F12" s="10" t="s">
        <v>57</v>
      </c>
      <c r="G12" s="10" t="s">
        <v>113</v>
      </c>
      <c r="H12" s="10" t="s">
        <v>69</v>
      </c>
      <c r="I12" s="26">
        <v>899.99</v>
      </c>
      <c r="J12" s="10">
        <v>3</v>
      </c>
      <c r="K12" s="12">
        <v>0.2</v>
      </c>
      <c r="L12" s="26">
        <f>I12*J12</f>
        <v>2699.9700000000003</v>
      </c>
      <c r="M12" s="26">
        <f>L12*K12</f>
        <v>539.99400000000003</v>
      </c>
      <c r="N12" s="26">
        <f>L12-M12</f>
        <v>2159.9760000000001</v>
      </c>
      <c r="O12" s="10" t="s">
        <v>70</v>
      </c>
      <c r="P12" s="10" t="s">
        <v>61</v>
      </c>
      <c r="Q12" s="28" t="s">
        <v>84</v>
      </c>
    </row>
    <row r="13" spans="1:23" ht="15" customHeight="1" x14ac:dyDescent="0.25">
      <c r="A13" s="27" t="s">
        <v>114</v>
      </c>
      <c r="B13" s="11">
        <v>45707</v>
      </c>
      <c r="C13" s="10" t="s">
        <v>115</v>
      </c>
      <c r="D13" s="10" t="s">
        <v>116</v>
      </c>
      <c r="E13" s="10" t="s">
        <v>117</v>
      </c>
      <c r="F13" s="10" t="s">
        <v>118</v>
      </c>
      <c r="G13" s="10" t="s">
        <v>78</v>
      </c>
      <c r="H13" s="10" t="s">
        <v>69</v>
      </c>
      <c r="I13" s="26">
        <v>349.99</v>
      </c>
      <c r="J13" s="10">
        <v>5</v>
      </c>
      <c r="K13" s="12">
        <v>0</v>
      </c>
      <c r="L13" s="26">
        <f>I13*J13</f>
        <v>1749.95</v>
      </c>
      <c r="M13" s="26">
        <f>L13*K13</f>
        <v>0</v>
      </c>
      <c r="N13" s="26">
        <f>L13-M13</f>
        <v>1749.95</v>
      </c>
      <c r="O13" s="10" t="s">
        <v>60</v>
      </c>
      <c r="P13" s="10" t="s">
        <v>71</v>
      </c>
      <c r="Q13" s="28" t="s">
        <v>62</v>
      </c>
    </row>
    <row r="14" spans="1:23" ht="15" customHeight="1" x14ac:dyDescent="0.25">
      <c r="A14" s="27" t="s">
        <v>95</v>
      </c>
      <c r="B14" s="11">
        <v>45695</v>
      </c>
      <c r="C14" s="10" t="s">
        <v>92</v>
      </c>
      <c r="D14" s="10" t="s">
        <v>93</v>
      </c>
      <c r="E14" s="10" t="s">
        <v>66</v>
      </c>
      <c r="F14" s="10" t="s">
        <v>67</v>
      </c>
      <c r="G14" s="10" t="s">
        <v>78</v>
      </c>
      <c r="H14" s="10" t="s">
        <v>69</v>
      </c>
      <c r="I14" s="26">
        <v>349.99</v>
      </c>
      <c r="J14" s="10">
        <v>5</v>
      </c>
      <c r="K14" s="12">
        <v>0</v>
      </c>
      <c r="L14" s="26">
        <f>I14*J14</f>
        <v>1749.95</v>
      </c>
      <c r="M14" s="26">
        <f>L14*K14</f>
        <v>0</v>
      </c>
      <c r="N14" s="26">
        <f>L14-M14</f>
        <v>1749.95</v>
      </c>
      <c r="O14" s="10" t="s">
        <v>60</v>
      </c>
      <c r="P14" s="10" t="s">
        <v>61</v>
      </c>
      <c r="Q14" s="28" t="s">
        <v>62</v>
      </c>
    </row>
    <row r="15" spans="1:23" ht="15" customHeight="1" x14ac:dyDescent="0.25">
      <c r="A15" s="27" t="s">
        <v>177</v>
      </c>
      <c r="B15" s="11">
        <v>45870</v>
      </c>
      <c r="C15" s="10" t="s">
        <v>100</v>
      </c>
      <c r="D15" s="10" t="s">
        <v>101</v>
      </c>
      <c r="E15" s="10" t="s">
        <v>66</v>
      </c>
      <c r="F15" s="10" t="s">
        <v>67</v>
      </c>
      <c r="G15" s="10" t="s">
        <v>109</v>
      </c>
      <c r="H15" s="10" t="s">
        <v>110</v>
      </c>
      <c r="I15" s="26">
        <v>499.99</v>
      </c>
      <c r="J15" s="10">
        <v>4</v>
      </c>
      <c r="K15" s="12">
        <v>0.15</v>
      </c>
      <c r="L15" s="26">
        <f>I15*J15</f>
        <v>1999.96</v>
      </c>
      <c r="M15" s="26">
        <f>L15*K15</f>
        <v>299.99399999999997</v>
      </c>
      <c r="N15" s="26">
        <f>L15-M15</f>
        <v>1699.9660000000001</v>
      </c>
      <c r="O15" s="10" t="s">
        <v>70</v>
      </c>
      <c r="P15" s="10" t="s">
        <v>79</v>
      </c>
      <c r="Q15" s="28" t="s">
        <v>72</v>
      </c>
    </row>
    <row r="16" spans="1:23" ht="15" customHeight="1" x14ac:dyDescent="0.25">
      <c r="A16" s="27" t="s">
        <v>127</v>
      </c>
      <c r="B16" s="11">
        <v>45723</v>
      </c>
      <c r="C16" s="10" t="s">
        <v>107</v>
      </c>
      <c r="D16" s="10" t="s">
        <v>108</v>
      </c>
      <c r="E16" s="10" t="s">
        <v>76</v>
      </c>
      <c r="F16" s="10" t="s">
        <v>77</v>
      </c>
      <c r="G16" s="10" t="s">
        <v>109</v>
      </c>
      <c r="H16" s="10" t="s">
        <v>110</v>
      </c>
      <c r="I16" s="26">
        <v>499.99</v>
      </c>
      <c r="J16" s="10">
        <v>4</v>
      </c>
      <c r="K16" s="12">
        <v>0.15</v>
      </c>
      <c r="L16" s="26">
        <f>I16*J16</f>
        <v>1999.96</v>
      </c>
      <c r="M16" s="26">
        <f>L16*K16</f>
        <v>299.99399999999997</v>
      </c>
      <c r="N16" s="26">
        <f>L16-M16</f>
        <v>1699.9660000000001</v>
      </c>
      <c r="O16" s="10" t="s">
        <v>111</v>
      </c>
      <c r="P16" s="10" t="s">
        <v>61</v>
      </c>
      <c r="Q16" s="28" t="s">
        <v>62</v>
      </c>
    </row>
    <row r="17" spans="1:17" ht="15" customHeight="1" x14ac:dyDescent="0.25">
      <c r="A17" s="27" t="s">
        <v>171</v>
      </c>
      <c r="B17" s="11">
        <v>45850</v>
      </c>
      <c r="C17" s="10" t="s">
        <v>132</v>
      </c>
      <c r="D17" s="10" t="s">
        <v>133</v>
      </c>
      <c r="E17" s="10" t="s">
        <v>56</v>
      </c>
      <c r="F17" s="10" t="s">
        <v>57</v>
      </c>
      <c r="G17" s="10" t="s">
        <v>78</v>
      </c>
      <c r="H17" s="10" t="s">
        <v>69</v>
      </c>
      <c r="I17" s="26">
        <v>349.99</v>
      </c>
      <c r="J17" s="10">
        <v>5</v>
      </c>
      <c r="K17" s="12">
        <v>0.05</v>
      </c>
      <c r="L17" s="26">
        <f>I17*J17</f>
        <v>1749.95</v>
      </c>
      <c r="M17" s="26">
        <f>L17*K17</f>
        <v>87.497500000000002</v>
      </c>
      <c r="N17" s="26">
        <f>L17-M17</f>
        <v>1662.4525000000001</v>
      </c>
      <c r="O17" s="10" t="s">
        <v>70</v>
      </c>
      <c r="P17" s="10" t="s">
        <v>71</v>
      </c>
      <c r="Q17" s="28" t="s">
        <v>62</v>
      </c>
    </row>
    <row r="18" spans="1:17" ht="15" customHeight="1" x14ac:dyDescent="0.25">
      <c r="A18" s="27" t="s">
        <v>154</v>
      </c>
      <c r="B18" s="11">
        <v>45782</v>
      </c>
      <c r="C18" s="10" t="s">
        <v>86</v>
      </c>
      <c r="D18" s="10" t="s">
        <v>87</v>
      </c>
      <c r="E18" s="10" t="s">
        <v>88</v>
      </c>
      <c r="F18" s="10" t="s">
        <v>89</v>
      </c>
      <c r="G18" s="10" t="s">
        <v>78</v>
      </c>
      <c r="H18" s="10" t="s">
        <v>69</v>
      </c>
      <c r="I18" s="26">
        <v>349.99</v>
      </c>
      <c r="J18" s="10">
        <v>5</v>
      </c>
      <c r="K18" s="12">
        <v>0.1</v>
      </c>
      <c r="L18" s="26">
        <f>I18*J18</f>
        <v>1749.95</v>
      </c>
      <c r="M18" s="26">
        <f>L18*K18</f>
        <v>174.995</v>
      </c>
      <c r="N18" s="26">
        <f>L18-M18</f>
        <v>1574.9549999999999</v>
      </c>
      <c r="O18" s="10" t="s">
        <v>70</v>
      </c>
      <c r="P18" s="10" t="s">
        <v>79</v>
      </c>
      <c r="Q18" s="28" t="s">
        <v>62</v>
      </c>
    </row>
    <row r="19" spans="1:17" ht="15" customHeight="1" x14ac:dyDescent="0.25">
      <c r="A19" s="27" t="s">
        <v>189</v>
      </c>
      <c r="B19" s="11">
        <v>45917</v>
      </c>
      <c r="C19" s="10" t="s">
        <v>81</v>
      </c>
      <c r="D19" s="10" t="s">
        <v>82</v>
      </c>
      <c r="E19" s="10" t="s">
        <v>76</v>
      </c>
      <c r="F19" s="10" t="s">
        <v>77</v>
      </c>
      <c r="G19" s="10" t="s">
        <v>142</v>
      </c>
      <c r="H19" s="10" t="s">
        <v>110</v>
      </c>
      <c r="I19" s="26">
        <v>299.99</v>
      </c>
      <c r="J19" s="10">
        <v>5</v>
      </c>
      <c r="K19" s="12">
        <v>0</v>
      </c>
      <c r="L19" s="26">
        <f>I19*J19</f>
        <v>1499.95</v>
      </c>
      <c r="M19" s="26">
        <f>L19*K19</f>
        <v>0</v>
      </c>
      <c r="N19" s="26">
        <f>L19-M19</f>
        <v>1499.95</v>
      </c>
      <c r="O19" s="10" t="s">
        <v>70</v>
      </c>
      <c r="P19" s="10" t="s">
        <v>79</v>
      </c>
      <c r="Q19" s="28" t="s">
        <v>84</v>
      </c>
    </row>
    <row r="20" spans="1:17" ht="15" customHeight="1" x14ac:dyDescent="0.25">
      <c r="A20" s="27" t="s">
        <v>144</v>
      </c>
      <c r="B20" s="11">
        <v>45757</v>
      </c>
      <c r="C20" s="10" t="s">
        <v>64</v>
      </c>
      <c r="D20" s="10" t="s">
        <v>65</v>
      </c>
      <c r="E20" s="10" t="s">
        <v>66</v>
      </c>
      <c r="F20" s="10" t="s">
        <v>67</v>
      </c>
      <c r="G20" s="10" t="s">
        <v>78</v>
      </c>
      <c r="H20" s="10" t="s">
        <v>69</v>
      </c>
      <c r="I20" s="26">
        <v>349.99</v>
      </c>
      <c r="J20" s="10">
        <v>5</v>
      </c>
      <c r="K20" s="12">
        <v>0.15</v>
      </c>
      <c r="L20" s="26">
        <f>I20*J20</f>
        <v>1749.95</v>
      </c>
      <c r="M20" s="26">
        <f>L20*K20</f>
        <v>262.49250000000001</v>
      </c>
      <c r="N20" s="26">
        <f>L20-M20</f>
        <v>1487.4575</v>
      </c>
      <c r="O20" s="10" t="s">
        <v>60</v>
      </c>
      <c r="P20" s="10" t="s">
        <v>71</v>
      </c>
      <c r="Q20" s="28" t="s">
        <v>84</v>
      </c>
    </row>
    <row r="21" spans="1:17" ht="15" customHeight="1" x14ac:dyDescent="0.25">
      <c r="A21" s="27" t="s">
        <v>194</v>
      </c>
      <c r="B21" s="11">
        <v>45946</v>
      </c>
      <c r="C21" s="10" t="s">
        <v>54</v>
      </c>
      <c r="D21" s="10" t="s">
        <v>55</v>
      </c>
      <c r="E21" s="10" t="s">
        <v>56</v>
      </c>
      <c r="F21" s="10" t="s">
        <v>57</v>
      </c>
      <c r="G21" s="10" t="s">
        <v>78</v>
      </c>
      <c r="H21" s="10" t="s">
        <v>69</v>
      </c>
      <c r="I21" s="26">
        <v>349.99</v>
      </c>
      <c r="J21" s="10">
        <v>4</v>
      </c>
      <c r="K21" s="12">
        <v>0</v>
      </c>
      <c r="L21" s="26">
        <f>I21*J21</f>
        <v>1399.96</v>
      </c>
      <c r="M21" s="26">
        <f>L21*K21</f>
        <v>0</v>
      </c>
      <c r="N21" s="26">
        <f>L21-M21</f>
        <v>1399.96</v>
      </c>
      <c r="O21" s="10" t="s">
        <v>70</v>
      </c>
      <c r="P21" s="10" t="s">
        <v>71</v>
      </c>
      <c r="Q21" s="28" t="s">
        <v>62</v>
      </c>
    </row>
    <row r="22" spans="1:17" ht="15" customHeight="1" x14ac:dyDescent="0.25">
      <c r="A22" s="27" t="s">
        <v>182</v>
      </c>
      <c r="B22" s="11">
        <v>45890</v>
      </c>
      <c r="C22" s="10" t="s">
        <v>97</v>
      </c>
      <c r="D22" s="10" t="s">
        <v>98</v>
      </c>
      <c r="E22" s="10" t="s">
        <v>88</v>
      </c>
      <c r="F22" s="10" t="s">
        <v>89</v>
      </c>
      <c r="G22" s="10" t="s">
        <v>78</v>
      </c>
      <c r="H22" s="10" t="s">
        <v>69</v>
      </c>
      <c r="I22" s="26">
        <v>349.99</v>
      </c>
      <c r="J22" s="10">
        <v>4</v>
      </c>
      <c r="K22" s="12">
        <v>0</v>
      </c>
      <c r="L22" s="26">
        <f>I22*J22</f>
        <v>1399.96</v>
      </c>
      <c r="M22" s="26">
        <f>L22*K22</f>
        <v>0</v>
      </c>
      <c r="N22" s="26">
        <f>L22-M22</f>
        <v>1399.96</v>
      </c>
      <c r="O22" s="10" t="s">
        <v>111</v>
      </c>
      <c r="P22" s="10" t="s">
        <v>105</v>
      </c>
      <c r="Q22" s="28" t="s">
        <v>72</v>
      </c>
    </row>
    <row r="23" spans="1:17" ht="15" customHeight="1" x14ac:dyDescent="0.25">
      <c r="A23" s="27" t="s">
        <v>141</v>
      </c>
      <c r="B23" s="11">
        <v>45750</v>
      </c>
      <c r="C23" s="10" t="s">
        <v>64</v>
      </c>
      <c r="D23" s="10" t="s">
        <v>65</v>
      </c>
      <c r="E23" s="10" t="s">
        <v>66</v>
      </c>
      <c r="F23" s="10" t="s">
        <v>67</v>
      </c>
      <c r="G23" s="10" t="s">
        <v>142</v>
      </c>
      <c r="H23" s="10" t="s">
        <v>110</v>
      </c>
      <c r="I23" s="26">
        <v>299.99</v>
      </c>
      <c r="J23" s="10">
        <v>5</v>
      </c>
      <c r="K23" s="12">
        <v>0.1</v>
      </c>
      <c r="L23" s="26">
        <f>I23*J23</f>
        <v>1499.95</v>
      </c>
      <c r="M23" s="26">
        <f>L23*K23</f>
        <v>149.995</v>
      </c>
      <c r="N23" s="26">
        <f>L23-M23</f>
        <v>1349.9549999999999</v>
      </c>
      <c r="O23" s="10" t="s">
        <v>70</v>
      </c>
      <c r="P23" s="10" t="s">
        <v>61</v>
      </c>
      <c r="Q23" s="28" t="s">
        <v>62</v>
      </c>
    </row>
    <row r="24" spans="1:17" ht="15" customHeight="1" x14ac:dyDescent="0.25">
      <c r="A24" s="27" t="s">
        <v>145</v>
      </c>
      <c r="B24" s="11">
        <v>45762</v>
      </c>
      <c r="C24" s="10" t="s">
        <v>100</v>
      </c>
      <c r="D24" s="10" t="s">
        <v>101</v>
      </c>
      <c r="E24" s="10" t="s">
        <v>66</v>
      </c>
      <c r="F24" s="10" t="s">
        <v>67</v>
      </c>
      <c r="G24" s="10" t="s">
        <v>142</v>
      </c>
      <c r="H24" s="10" t="s">
        <v>110</v>
      </c>
      <c r="I24" s="26">
        <v>299.99</v>
      </c>
      <c r="J24" s="10">
        <v>4</v>
      </c>
      <c r="K24" s="12">
        <v>0</v>
      </c>
      <c r="L24" s="26">
        <f>I24*J24</f>
        <v>1199.96</v>
      </c>
      <c r="M24" s="26">
        <f>L24*K24</f>
        <v>0</v>
      </c>
      <c r="N24" s="26">
        <f>L24-M24</f>
        <v>1199.96</v>
      </c>
      <c r="O24" s="10" t="s">
        <v>83</v>
      </c>
      <c r="P24" s="10" t="s">
        <v>79</v>
      </c>
      <c r="Q24" s="28" t="s">
        <v>84</v>
      </c>
    </row>
    <row r="25" spans="1:17" ht="15" customHeight="1" x14ac:dyDescent="0.25">
      <c r="A25" s="27" t="s">
        <v>198</v>
      </c>
      <c r="B25" s="11">
        <v>45953</v>
      </c>
      <c r="C25" s="10" t="s">
        <v>148</v>
      </c>
      <c r="D25" s="10" t="s">
        <v>149</v>
      </c>
      <c r="E25" s="10" t="s">
        <v>117</v>
      </c>
      <c r="F25" s="10" t="s">
        <v>118</v>
      </c>
      <c r="G25" s="10" t="s">
        <v>142</v>
      </c>
      <c r="H25" s="10" t="s">
        <v>110</v>
      </c>
      <c r="I25" s="26">
        <v>299.99</v>
      </c>
      <c r="J25" s="10">
        <v>4</v>
      </c>
      <c r="K25" s="12">
        <v>0.05</v>
      </c>
      <c r="L25" s="26">
        <f>I25*J25</f>
        <v>1199.96</v>
      </c>
      <c r="M25" s="26">
        <f>L25*K25</f>
        <v>59.998000000000005</v>
      </c>
      <c r="N25" s="26">
        <f>L25-M25</f>
        <v>1139.962</v>
      </c>
      <c r="O25" s="10" t="s">
        <v>111</v>
      </c>
      <c r="P25" s="10" t="s">
        <v>79</v>
      </c>
      <c r="Q25" s="28" t="s">
        <v>72</v>
      </c>
    </row>
    <row r="26" spans="1:17" ht="15" customHeight="1" x14ac:dyDescent="0.25">
      <c r="A26" s="27" t="s">
        <v>80</v>
      </c>
      <c r="B26" s="11">
        <v>45679</v>
      </c>
      <c r="C26" s="10" t="s">
        <v>81</v>
      </c>
      <c r="D26" s="10" t="s">
        <v>82</v>
      </c>
      <c r="E26" s="10" t="s">
        <v>76</v>
      </c>
      <c r="F26" s="10" t="s">
        <v>77</v>
      </c>
      <c r="G26" s="10" t="s">
        <v>78</v>
      </c>
      <c r="H26" s="10" t="s">
        <v>69</v>
      </c>
      <c r="I26" s="26">
        <v>349.99</v>
      </c>
      <c r="J26" s="10">
        <v>3</v>
      </c>
      <c r="K26" s="12">
        <v>0</v>
      </c>
      <c r="L26" s="26">
        <f>I26*J26</f>
        <v>1049.97</v>
      </c>
      <c r="M26" s="26">
        <f>L26*K26</f>
        <v>0</v>
      </c>
      <c r="N26" s="26">
        <f>L26-M26</f>
        <v>1049.97</v>
      </c>
      <c r="O26" s="10" t="s">
        <v>83</v>
      </c>
      <c r="P26" s="10" t="s">
        <v>71</v>
      </c>
      <c r="Q26" s="28" t="s">
        <v>84</v>
      </c>
    </row>
    <row r="27" spans="1:17" ht="15" customHeight="1" x14ac:dyDescent="0.25">
      <c r="A27" s="27" t="s">
        <v>155</v>
      </c>
      <c r="B27" s="11">
        <v>45785</v>
      </c>
      <c r="C27" s="10" t="s">
        <v>86</v>
      </c>
      <c r="D27" s="10" t="s">
        <v>87</v>
      </c>
      <c r="E27" s="10" t="s">
        <v>88</v>
      </c>
      <c r="F27" s="10" t="s">
        <v>89</v>
      </c>
      <c r="G27" s="10" t="s">
        <v>109</v>
      </c>
      <c r="H27" s="10" t="s">
        <v>110</v>
      </c>
      <c r="I27" s="26">
        <v>499.99</v>
      </c>
      <c r="J27" s="10">
        <v>2</v>
      </c>
      <c r="K27" s="12">
        <v>0</v>
      </c>
      <c r="L27" s="26">
        <f>I27*J27</f>
        <v>999.98</v>
      </c>
      <c r="M27" s="26">
        <f>L27*K27</f>
        <v>0</v>
      </c>
      <c r="N27" s="26">
        <f>L27-M27</f>
        <v>999.98</v>
      </c>
      <c r="O27" s="10" t="s">
        <v>111</v>
      </c>
      <c r="P27" s="10" t="s">
        <v>105</v>
      </c>
      <c r="Q27" s="28" t="s">
        <v>62</v>
      </c>
    </row>
    <row r="28" spans="1:17" ht="15" customHeight="1" x14ac:dyDescent="0.25">
      <c r="A28" s="27" t="s">
        <v>190</v>
      </c>
      <c r="B28" s="11">
        <v>45921</v>
      </c>
      <c r="C28" s="10" t="s">
        <v>64</v>
      </c>
      <c r="D28" s="10" t="s">
        <v>65</v>
      </c>
      <c r="E28" s="10" t="s">
        <v>66</v>
      </c>
      <c r="F28" s="10" t="s">
        <v>67</v>
      </c>
      <c r="G28" s="10" t="s">
        <v>142</v>
      </c>
      <c r="H28" s="10" t="s">
        <v>110</v>
      </c>
      <c r="I28" s="26">
        <v>299.99</v>
      </c>
      <c r="J28" s="10">
        <v>4</v>
      </c>
      <c r="K28" s="12">
        <v>0.2</v>
      </c>
      <c r="L28" s="26">
        <f>I28*J28</f>
        <v>1199.96</v>
      </c>
      <c r="M28" s="26">
        <f>L28*K28</f>
        <v>239.99200000000002</v>
      </c>
      <c r="N28" s="26">
        <f>L28-M28</f>
        <v>959.96800000000007</v>
      </c>
      <c r="O28" s="10" t="s">
        <v>70</v>
      </c>
      <c r="P28" s="10" t="s">
        <v>71</v>
      </c>
      <c r="Q28" s="28" t="s">
        <v>62</v>
      </c>
    </row>
    <row r="29" spans="1:17" ht="15" customHeight="1" x14ac:dyDescent="0.25">
      <c r="A29" s="27" t="s">
        <v>179</v>
      </c>
      <c r="B29" s="11">
        <v>45876</v>
      </c>
      <c r="C29" s="10" t="s">
        <v>97</v>
      </c>
      <c r="D29" s="10" t="s">
        <v>98</v>
      </c>
      <c r="E29" s="10" t="s">
        <v>88</v>
      </c>
      <c r="F29" s="10" t="s">
        <v>89</v>
      </c>
      <c r="G29" s="10" t="s">
        <v>142</v>
      </c>
      <c r="H29" s="10" t="s">
        <v>110</v>
      </c>
      <c r="I29" s="26">
        <v>299.99</v>
      </c>
      <c r="J29" s="10">
        <v>3</v>
      </c>
      <c r="K29" s="12">
        <v>0</v>
      </c>
      <c r="L29" s="26">
        <f>I29*J29</f>
        <v>899.97</v>
      </c>
      <c r="M29" s="26">
        <f>L29*K29</f>
        <v>0</v>
      </c>
      <c r="N29" s="26">
        <f>L29-M29</f>
        <v>899.97</v>
      </c>
      <c r="O29" s="10" t="s">
        <v>60</v>
      </c>
      <c r="P29" s="10" t="s">
        <v>105</v>
      </c>
      <c r="Q29" s="28" t="s">
        <v>62</v>
      </c>
    </row>
    <row r="30" spans="1:17" ht="15" customHeight="1" x14ac:dyDescent="0.25">
      <c r="A30" s="27" t="s">
        <v>147</v>
      </c>
      <c r="B30" s="11">
        <v>45770</v>
      </c>
      <c r="C30" s="10" t="s">
        <v>148</v>
      </c>
      <c r="D30" s="10" t="s">
        <v>149</v>
      </c>
      <c r="E30" s="10" t="s">
        <v>117</v>
      </c>
      <c r="F30" s="10" t="s">
        <v>118</v>
      </c>
      <c r="G30" s="10" t="s">
        <v>142</v>
      </c>
      <c r="H30" s="10" t="s">
        <v>110</v>
      </c>
      <c r="I30" s="26">
        <v>299.99</v>
      </c>
      <c r="J30" s="10">
        <v>3</v>
      </c>
      <c r="K30" s="12">
        <v>0.1</v>
      </c>
      <c r="L30" s="26">
        <f>I30*J30</f>
        <v>899.97</v>
      </c>
      <c r="M30" s="26">
        <f>L30*K30</f>
        <v>89.997000000000014</v>
      </c>
      <c r="N30" s="26">
        <f>L30-M30</f>
        <v>809.97299999999996</v>
      </c>
      <c r="O30" s="10" t="s">
        <v>70</v>
      </c>
      <c r="P30" s="10" t="s">
        <v>105</v>
      </c>
      <c r="Q30" s="28" t="s">
        <v>62</v>
      </c>
    </row>
    <row r="31" spans="1:17" ht="15" customHeight="1" x14ac:dyDescent="0.25">
      <c r="A31" s="27" t="s">
        <v>162</v>
      </c>
      <c r="B31" s="11">
        <v>45829</v>
      </c>
      <c r="C31" s="10" t="s">
        <v>81</v>
      </c>
      <c r="D31" s="10" t="s">
        <v>82</v>
      </c>
      <c r="E31" s="10" t="s">
        <v>76</v>
      </c>
      <c r="F31" s="10" t="s">
        <v>77</v>
      </c>
      <c r="G31" s="10" t="s">
        <v>163</v>
      </c>
      <c r="H31" s="10" t="s">
        <v>110</v>
      </c>
      <c r="I31" s="26">
        <v>149.99</v>
      </c>
      <c r="J31" s="10">
        <v>5</v>
      </c>
      <c r="K31" s="12">
        <v>0</v>
      </c>
      <c r="L31" s="26">
        <f>I31*J31</f>
        <v>749.95</v>
      </c>
      <c r="M31" s="26">
        <f>L31*K31</f>
        <v>0</v>
      </c>
      <c r="N31" s="26">
        <f>L31-M31</f>
        <v>749.95</v>
      </c>
      <c r="O31" s="10" t="s">
        <v>70</v>
      </c>
      <c r="P31" s="10" t="s">
        <v>71</v>
      </c>
      <c r="Q31" s="28" t="s">
        <v>84</v>
      </c>
    </row>
    <row r="32" spans="1:17" ht="15" customHeight="1" x14ac:dyDescent="0.25">
      <c r="A32" s="27" t="s">
        <v>165</v>
      </c>
      <c r="B32" s="11">
        <v>45833</v>
      </c>
      <c r="C32" s="10" t="s">
        <v>81</v>
      </c>
      <c r="D32" s="10" t="s">
        <v>82</v>
      </c>
      <c r="E32" s="10" t="s">
        <v>76</v>
      </c>
      <c r="F32" s="10" t="s">
        <v>77</v>
      </c>
      <c r="G32" s="10" t="s">
        <v>163</v>
      </c>
      <c r="H32" s="10" t="s">
        <v>110</v>
      </c>
      <c r="I32" s="26">
        <v>149.99</v>
      </c>
      <c r="J32" s="10">
        <v>5</v>
      </c>
      <c r="K32" s="12">
        <v>0.15</v>
      </c>
      <c r="L32" s="26">
        <f>I32*J32</f>
        <v>749.95</v>
      </c>
      <c r="M32" s="26">
        <f>L32*K32</f>
        <v>112.49250000000001</v>
      </c>
      <c r="N32" s="26">
        <f>L32-M32</f>
        <v>637.45749999999998</v>
      </c>
      <c r="O32" s="10" t="s">
        <v>70</v>
      </c>
      <c r="P32" s="10" t="s">
        <v>61</v>
      </c>
      <c r="Q32" s="28" t="s">
        <v>72</v>
      </c>
    </row>
    <row r="33" spans="1:17" ht="15" customHeight="1" x14ac:dyDescent="0.25">
      <c r="A33" s="27" t="s">
        <v>211</v>
      </c>
      <c r="B33" s="11">
        <v>46005</v>
      </c>
      <c r="C33" s="10" t="s">
        <v>97</v>
      </c>
      <c r="D33" s="10" t="s">
        <v>98</v>
      </c>
      <c r="E33" s="10" t="s">
        <v>88</v>
      </c>
      <c r="F33" s="10" t="s">
        <v>89</v>
      </c>
      <c r="G33" s="10" t="s">
        <v>142</v>
      </c>
      <c r="H33" s="10" t="s">
        <v>110</v>
      </c>
      <c r="I33" s="26">
        <v>299.99</v>
      </c>
      <c r="J33" s="10">
        <v>2</v>
      </c>
      <c r="K33" s="12">
        <v>0</v>
      </c>
      <c r="L33" s="26">
        <f>I33*J33</f>
        <v>599.98</v>
      </c>
      <c r="M33" s="26">
        <f>L33*K33</f>
        <v>0</v>
      </c>
      <c r="N33" s="26">
        <f>L33-M33</f>
        <v>599.98</v>
      </c>
      <c r="O33" s="10" t="s">
        <v>83</v>
      </c>
      <c r="P33" s="10" t="s">
        <v>105</v>
      </c>
      <c r="Q33" s="28" t="s">
        <v>62</v>
      </c>
    </row>
    <row r="34" spans="1:17" ht="15" customHeight="1" x14ac:dyDescent="0.25">
      <c r="A34" s="27" t="s">
        <v>176</v>
      </c>
      <c r="B34" s="11">
        <v>45862</v>
      </c>
      <c r="C34" s="10" t="s">
        <v>74</v>
      </c>
      <c r="D34" s="10" t="s">
        <v>75</v>
      </c>
      <c r="E34" s="10" t="s">
        <v>76</v>
      </c>
      <c r="F34" s="10" t="s">
        <v>77</v>
      </c>
      <c r="G34" s="10" t="s">
        <v>142</v>
      </c>
      <c r="H34" s="10" t="s">
        <v>110</v>
      </c>
      <c r="I34" s="26">
        <v>299.99</v>
      </c>
      <c r="J34" s="10">
        <v>2</v>
      </c>
      <c r="K34" s="12">
        <v>0</v>
      </c>
      <c r="L34" s="26">
        <f>I34*J34</f>
        <v>599.98</v>
      </c>
      <c r="M34" s="26">
        <f>L34*K34</f>
        <v>0</v>
      </c>
      <c r="N34" s="26">
        <f>L34-M34</f>
        <v>599.98</v>
      </c>
      <c r="O34" s="10" t="s">
        <v>70</v>
      </c>
      <c r="P34" s="10" t="s">
        <v>79</v>
      </c>
      <c r="Q34" s="28" t="s">
        <v>72</v>
      </c>
    </row>
    <row r="35" spans="1:17" ht="15" customHeight="1" x14ac:dyDescent="0.25">
      <c r="A35" s="27" t="s">
        <v>193</v>
      </c>
      <c r="B35" s="11">
        <v>45945</v>
      </c>
      <c r="C35" s="10" t="s">
        <v>97</v>
      </c>
      <c r="D35" s="10" t="s">
        <v>98</v>
      </c>
      <c r="E35" s="10" t="s">
        <v>88</v>
      </c>
      <c r="F35" s="10" t="s">
        <v>89</v>
      </c>
      <c r="G35" s="10" t="s">
        <v>163</v>
      </c>
      <c r="H35" s="10" t="s">
        <v>110</v>
      </c>
      <c r="I35" s="26">
        <v>149.99</v>
      </c>
      <c r="J35" s="10">
        <v>5</v>
      </c>
      <c r="K35" s="12">
        <v>0.2</v>
      </c>
      <c r="L35" s="26">
        <f>I35*J35</f>
        <v>749.95</v>
      </c>
      <c r="M35" s="26">
        <f>L35*K35</f>
        <v>149.99</v>
      </c>
      <c r="N35" s="26">
        <f>L35-M35</f>
        <v>599.96</v>
      </c>
      <c r="O35" s="10" t="s">
        <v>70</v>
      </c>
      <c r="P35" s="10" t="s">
        <v>71</v>
      </c>
      <c r="Q35" s="28" t="s">
        <v>62</v>
      </c>
    </row>
    <row r="36" spans="1:17" ht="15" customHeight="1" x14ac:dyDescent="0.25">
      <c r="A36" s="27" t="s">
        <v>73</v>
      </c>
      <c r="B36" s="11">
        <v>45674</v>
      </c>
      <c r="C36" s="10" t="s">
        <v>74</v>
      </c>
      <c r="D36" s="10" t="s">
        <v>75</v>
      </c>
      <c r="E36" s="10" t="s">
        <v>76</v>
      </c>
      <c r="F36" s="10" t="s">
        <v>77</v>
      </c>
      <c r="G36" s="10" t="s">
        <v>78</v>
      </c>
      <c r="H36" s="10" t="s">
        <v>69</v>
      </c>
      <c r="I36" s="26">
        <v>349.99</v>
      </c>
      <c r="J36" s="10">
        <v>2</v>
      </c>
      <c r="K36" s="12">
        <v>0.15</v>
      </c>
      <c r="L36" s="26">
        <f>I36*J36</f>
        <v>699.98</v>
      </c>
      <c r="M36" s="26">
        <f>L36*K36</f>
        <v>104.997</v>
      </c>
      <c r="N36" s="26">
        <f>L36-M36</f>
        <v>594.98300000000006</v>
      </c>
      <c r="O36" s="10" t="s">
        <v>70</v>
      </c>
      <c r="P36" s="10" t="s">
        <v>79</v>
      </c>
      <c r="Q36" s="28" t="s">
        <v>62</v>
      </c>
    </row>
    <row r="37" spans="1:17" ht="15" customHeight="1" x14ac:dyDescent="0.25">
      <c r="A37" s="27" t="s">
        <v>174</v>
      </c>
      <c r="B37" s="11">
        <v>45858</v>
      </c>
      <c r="C37" s="10" t="s">
        <v>74</v>
      </c>
      <c r="D37" s="10" t="s">
        <v>75</v>
      </c>
      <c r="E37" s="10" t="s">
        <v>76</v>
      </c>
      <c r="F37" s="10" t="s">
        <v>77</v>
      </c>
      <c r="G37" s="10" t="s">
        <v>163</v>
      </c>
      <c r="H37" s="10" t="s">
        <v>110</v>
      </c>
      <c r="I37" s="26">
        <v>149.99</v>
      </c>
      <c r="J37" s="10">
        <v>4</v>
      </c>
      <c r="K37" s="12">
        <v>0.1</v>
      </c>
      <c r="L37" s="26">
        <f>I37*J37</f>
        <v>599.96</v>
      </c>
      <c r="M37" s="26">
        <f>L37*K37</f>
        <v>59.996000000000009</v>
      </c>
      <c r="N37" s="26">
        <f>L37-M37</f>
        <v>539.96400000000006</v>
      </c>
      <c r="O37" s="10" t="s">
        <v>70</v>
      </c>
      <c r="P37" s="10" t="s">
        <v>105</v>
      </c>
      <c r="Q37" s="28" t="s">
        <v>62</v>
      </c>
    </row>
    <row r="38" spans="1:17" ht="15" customHeight="1" x14ac:dyDescent="0.25">
      <c r="A38" s="27" t="s">
        <v>192</v>
      </c>
      <c r="B38" s="11">
        <v>45940</v>
      </c>
      <c r="C38" s="10" t="s">
        <v>92</v>
      </c>
      <c r="D38" s="10" t="s">
        <v>93</v>
      </c>
      <c r="E38" s="10" t="s">
        <v>66</v>
      </c>
      <c r="F38" s="10" t="s">
        <v>67</v>
      </c>
      <c r="G38" s="10" t="s">
        <v>109</v>
      </c>
      <c r="H38" s="10" t="s">
        <v>110</v>
      </c>
      <c r="I38" s="26">
        <v>499.99</v>
      </c>
      <c r="J38" s="10">
        <v>1</v>
      </c>
      <c r="K38" s="12">
        <v>0</v>
      </c>
      <c r="L38" s="26">
        <f>I38*J38</f>
        <v>499.99</v>
      </c>
      <c r="M38" s="26">
        <f>L38*K38</f>
        <v>0</v>
      </c>
      <c r="N38" s="26">
        <f>L38-M38</f>
        <v>499.99</v>
      </c>
      <c r="O38" s="10" t="s">
        <v>70</v>
      </c>
      <c r="P38" s="10" t="s">
        <v>61</v>
      </c>
      <c r="Q38" s="28" t="s">
        <v>62</v>
      </c>
    </row>
    <row r="39" spans="1:17" ht="15" customHeight="1" x14ac:dyDescent="0.25">
      <c r="A39" s="27" t="s">
        <v>122</v>
      </c>
      <c r="B39" s="11">
        <v>45709</v>
      </c>
      <c r="C39" s="10" t="s">
        <v>97</v>
      </c>
      <c r="D39" s="10" t="s">
        <v>98</v>
      </c>
      <c r="E39" s="10" t="s">
        <v>88</v>
      </c>
      <c r="F39" s="10" t="s">
        <v>89</v>
      </c>
      <c r="G39" s="10" t="s">
        <v>109</v>
      </c>
      <c r="H39" s="10" t="s">
        <v>110</v>
      </c>
      <c r="I39" s="26">
        <v>499.99</v>
      </c>
      <c r="J39" s="10">
        <v>1</v>
      </c>
      <c r="K39" s="12">
        <v>0</v>
      </c>
      <c r="L39" s="26">
        <f>I39*J39</f>
        <v>499.99</v>
      </c>
      <c r="M39" s="26">
        <f>L39*K39</f>
        <v>0</v>
      </c>
      <c r="N39" s="26">
        <f>L39-M39</f>
        <v>499.99</v>
      </c>
      <c r="O39" s="10" t="s">
        <v>70</v>
      </c>
      <c r="P39" s="10" t="s">
        <v>61</v>
      </c>
      <c r="Q39" s="28" t="s">
        <v>84</v>
      </c>
    </row>
    <row r="40" spans="1:17" ht="15" customHeight="1" x14ac:dyDescent="0.25">
      <c r="A40" s="27" t="s">
        <v>197</v>
      </c>
      <c r="B40" s="11">
        <v>45952</v>
      </c>
      <c r="C40" s="10" t="s">
        <v>100</v>
      </c>
      <c r="D40" s="10" t="s">
        <v>101</v>
      </c>
      <c r="E40" s="10" t="s">
        <v>66</v>
      </c>
      <c r="F40" s="10" t="s">
        <v>67</v>
      </c>
      <c r="G40" s="10" t="s">
        <v>109</v>
      </c>
      <c r="H40" s="10" t="s">
        <v>110</v>
      </c>
      <c r="I40" s="26">
        <v>499.99</v>
      </c>
      <c r="J40" s="10">
        <v>1</v>
      </c>
      <c r="K40" s="12">
        <v>0.05</v>
      </c>
      <c r="L40" s="26">
        <f>I40*J40</f>
        <v>499.99</v>
      </c>
      <c r="M40" s="26">
        <f>L40*K40</f>
        <v>24.999500000000001</v>
      </c>
      <c r="N40" s="26">
        <f>L40-M40</f>
        <v>474.9905</v>
      </c>
      <c r="O40" s="10" t="s">
        <v>83</v>
      </c>
      <c r="P40" s="10" t="s">
        <v>105</v>
      </c>
      <c r="Q40" s="28" t="s">
        <v>72</v>
      </c>
    </row>
    <row r="41" spans="1:17" ht="15" customHeight="1" x14ac:dyDescent="0.25">
      <c r="A41" s="27" t="s">
        <v>161</v>
      </c>
      <c r="B41" s="11">
        <v>45822</v>
      </c>
      <c r="C41" s="10" t="s">
        <v>54</v>
      </c>
      <c r="D41" s="10" t="s">
        <v>55</v>
      </c>
      <c r="E41" s="10" t="s">
        <v>56</v>
      </c>
      <c r="F41" s="10" t="s">
        <v>57</v>
      </c>
      <c r="G41" s="10" t="s">
        <v>109</v>
      </c>
      <c r="H41" s="10" t="s">
        <v>110</v>
      </c>
      <c r="I41" s="26">
        <v>499.99</v>
      </c>
      <c r="J41" s="10">
        <v>1</v>
      </c>
      <c r="K41" s="12">
        <v>0.15</v>
      </c>
      <c r="L41" s="26">
        <f>I41*J41</f>
        <v>499.99</v>
      </c>
      <c r="M41" s="26">
        <f>L41*K41</f>
        <v>74.998499999999993</v>
      </c>
      <c r="N41" s="26">
        <f>L41-M41</f>
        <v>424.99150000000003</v>
      </c>
      <c r="O41" s="10" t="s">
        <v>111</v>
      </c>
      <c r="P41" s="10" t="s">
        <v>71</v>
      </c>
      <c r="Q41" s="28" t="s">
        <v>62</v>
      </c>
    </row>
    <row r="42" spans="1:17" ht="15" customHeight="1" x14ac:dyDescent="0.25">
      <c r="A42" s="27" t="s">
        <v>207</v>
      </c>
      <c r="B42" s="11">
        <v>45996</v>
      </c>
      <c r="C42" s="10" t="s">
        <v>64</v>
      </c>
      <c r="D42" s="10" t="s">
        <v>65</v>
      </c>
      <c r="E42" s="10" t="s">
        <v>66</v>
      </c>
      <c r="F42" s="10" t="s">
        <v>67</v>
      </c>
      <c r="G42" s="10" t="s">
        <v>163</v>
      </c>
      <c r="H42" s="10" t="s">
        <v>110</v>
      </c>
      <c r="I42" s="26">
        <v>149.99</v>
      </c>
      <c r="J42" s="10">
        <v>3</v>
      </c>
      <c r="K42" s="12">
        <v>0.1</v>
      </c>
      <c r="L42" s="26">
        <f>I42*J42</f>
        <v>449.97</v>
      </c>
      <c r="M42" s="26">
        <f>L42*K42</f>
        <v>44.997000000000007</v>
      </c>
      <c r="N42" s="26">
        <f>L42-M42</f>
        <v>404.97300000000001</v>
      </c>
      <c r="O42" s="10" t="s">
        <v>60</v>
      </c>
      <c r="P42" s="10" t="s">
        <v>61</v>
      </c>
      <c r="Q42" s="28" t="s">
        <v>62</v>
      </c>
    </row>
    <row r="43" spans="1:17" ht="15" customHeight="1" x14ac:dyDescent="0.25">
      <c r="A43" s="27" t="s">
        <v>159</v>
      </c>
      <c r="B43" s="11">
        <v>45811</v>
      </c>
      <c r="C43" s="10" t="s">
        <v>148</v>
      </c>
      <c r="D43" s="10" t="s">
        <v>149</v>
      </c>
      <c r="E43" s="10" t="s">
        <v>117</v>
      </c>
      <c r="F43" s="10" t="s">
        <v>118</v>
      </c>
      <c r="G43" s="10" t="s">
        <v>90</v>
      </c>
      <c r="H43" s="10" t="s">
        <v>69</v>
      </c>
      <c r="I43" s="26">
        <v>129.99</v>
      </c>
      <c r="J43" s="10">
        <v>3</v>
      </c>
      <c r="K43" s="12">
        <v>0</v>
      </c>
      <c r="L43" s="26">
        <f>I43*J43</f>
        <v>389.97</v>
      </c>
      <c r="M43" s="26">
        <f>L43*K43</f>
        <v>0</v>
      </c>
      <c r="N43" s="26">
        <f>L43-M43</f>
        <v>389.97</v>
      </c>
      <c r="O43" s="10" t="s">
        <v>70</v>
      </c>
      <c r="P43" s="10" t="s">
        <v>79</v>
      </c>
      <c r="Q43" s="28" t="s">
        <v>62</v>
      </c>
    </row>
    <row r="44" spans="1:17" ht="15" customHeight="1" x14ac:dyDescent="0.25">
      <c r="A44" s="27" t="s">
        <v>152</v>
      </c>
      <c r="B44" s="11">
        <v>45774</v>
      </c>
      <c r="C44" s="10" t="s">
        <v>54</v>
      </c>
      <c r="D44" s="10" t="s">
        <v>55</v>
      </c>
      <c r="E44" s="10" t="s">
        <v>56</v>
      </c>
      <c r="F44" s="10" t="s">
        <v>57</v>
      </c>
      <c r="G44" s="10" t="s">
        <v>90</v>
      </c>
      <c r="H44" s="10" t="s">
        <v>69</v>
      </c>
      <c r="I44" s="26">
        <v>129.99</v>
      </c>
      <c r="J44" s="10">
        <v>3</v>
      </c>
      <c r="K44" s="12">
        <v>0</v>
      </c>
      <c r="L44" s="26">
        <f>I44*J44</f>
        <v>389.97</v>
      </c>
      <c r="M44" s="26">
        <f>L44*K44</f>
        <v>0</v>
      </c>
      <c r="N44" s="26">
        <f>L44-M44</f>
        <v>389.97</v>
      </c>
      <c r="O44" s="10" t="s">
        <v>83</v>
      </c>
      <c r="P44" s="10" t="s">
        <v>61</v>
      </c>
      <c r="Q44" s="28" t="s">
        <v>72</v>
      </c>
    </row>
    <row r="45" spans="1:17" ht="15" customHeight="1" x14ac:dyDescent="0.25">
      <c r="A45" s="27" t="s">
        <v>186</v>
      </c>
      <c r="B45" s="11">
        <v>45906</v>
      </c>
      <c r="C45" s="10" t="s">
        <v>92</v>
      </c>
      <c r="D45" s="10" t="s">
        <v>93</v>
      </c>
      <c r="E45" s="10" t="s">
        <v>66</v>
      </c>
      <c r="F45" s="10" t="s">
        <v>67</v>
      </c>
      <c r="G45" s="10" t="s">
        <v>104</v>
      </c>
      <c r="H45" s="10" t="s">
        <v>69</v>
      </c>
      <c r="I45" s="26">
        <v>79.989999999999995</v>
      </c>
      <c r="J45" s="10">
        <v>5</v>
      </c>
      <c r="K45" s="12">
        <v>0.05</v>
      </c>
      <c r="L45" s="26">
        <f>I45*J45</f>
        <v>399.95</v>
      </c>
      <c r="M45" s="26">
        <f>L45*K45</f>
        <v>19.997500000000002</v>
      </c>
      <c r="N45" s="26">
        <f>L45-M45</f>
        <v>379.95249999999999</v>
      </c>
      <c r="O45" s="10" t="s">
        <v>70</v>
      </c>
      <c r="P45" s="10" t="s">
        <v>61</v>
      </c>
      <c r="Q45" s="28" t="s">
        <v>84</v>
      </c>
    </row>
    <row r="46" spans="1:17" ht="15" customHeight="1" x14ac:dyDescent="0.25">
      <c r="A46" s="27" t="s">
        <v>170</v>
      </c>
      <c r="B46" s="11">
        <v>45847</v>
      </c>
      <c r="C46" s="10" t="s">
        <v>54</v>
      </c>
      <c r="D46" s="10" t="s">
        <v>55</v>
      </c>
      <c r="E46" s="10" t="s">
        <v>56</v>
      </c>
      <c r="F46" s="10" t="s">
        <v>57</v>
      </c>
      <c r="G46" s="10" t="s">
        <v>90</v>
      </c>
      <c r="H46" s="10" t="s">
        <v>69</v>
      </c>
      <c r="I46" s="26">
        <v>129.99</v>
      </c>
      <c r="J46" s="10">
        <v>3</v>
      </c>
      <c r="K46" s="12">
        <v>0.05</v>
      </c>
      <c r="L46" s="26">
        <f>I46*J46</f>
        <v>389.97</v>
      </c>
      <c r="M46" s="26">
        <f>L46*K46</f>
        <v>19.498500000000003</v>
      </c>
      <c r="N46" s="26">
        <f>L46-M46</f>
        <v>370.47150000000005</v>
      </c>
      <c r="O46" s="10" t="s">
        <v>111</v>
      </c>
      <c r="P46" s="10" t="s">
        <v>79</v>
      </c>
      <c r="Q46" s="28" t="s">
        <v>72</v>
      </c>
    </row>
    <row r="47" spans="1:17" ht="15" customHeight="1" x14ac:dyDescent="0.25">
      <c r="A47" s="27" t="s">
        <v>153</v>
      </c>
      <c r="B47" s="11">
        <v>45774</v>
      </c>
      <c r="C47" s="10" t="s">
        <v>74</v>
      </c>
      <c r="D47" s="10" t="s">
        <v>75</v>
      </c>
      <c r="E47" s="10" t="s">
        <v>76</v>
      </c>
      <c r="F47" s="10" t="s">
        <v>77</v>
      </c>
      <c r="G47" s="10" t="s">
        <v>90</v>
      </c>
      <c r="H47" s="10" t="s">
        <v>69</v>
      </c>
      <c r="I47" s="26">
        <v>129.99</v>
      </c>
      <c r="J47" s="10">
        <v>3</v>
      </c>
      <c r="K47" s="12">
        <v>0.05</v>
      </c>
      <c r="L47" s="26">
        <f>I47*J47</f>
        <v>389.97</v>
      </c>
      <c r="M47" s="26">
        <f>L47*K47</f>
        <v>19.498500000000003</v>
      </c>
      <c r="N47" s="26">
        <f>L47-M47</f>
        <v>370.47150000000005</v>
      </c>
      <c r="O47" s="10" t="s">
        <v>70</v>
      </c>
      <c r="P47" s="10" t="s">
        <v>79</v>
      </c>
      <c r="Q47" s="28" t="s">
        <v>62</v>
      </c>
    </row>
    <row r="48" spans="1:17" ht="15" customHeight="1" x14ac:dyDescent="0.25">
      <c r="A48" s="27" t="s">
        <v>85</v>
      </c>
      <c r="B48" s="11">
        <v>45681</v>
      </c>
      <c r="C48" s="10" t="s">
        <v>86</v>
      </c>
      <c r="D48" s="10" t="s">
        <v>87</v>
      </c>
      <c r="E48" s="10" t="s">
        <v>88</v>
      </c>
      <c r="F48" s="10" t="s">
        <v>89</v>
      </c>
      <c r="G48" s="10" t="s">
        <v>90</v>
      </c>
      <c r="H48" s="10" t="s">
        <v>69</v>
      </c>
      <c r="I48" s="26">
        <v>129.99</v>
      </c>
      <c r="J48" s="10">
        <v>3</v>
      </c>
      <c r="K48" s="12">
        <v>0.1</v>
      </c>
      <c r="L48" s="26">
        <f>I48*J48</f>
        <v>389.97</v>
      </c>
      <c r="M48" s="26">
        <f>L48*K48</f>
        <v>38.997000000000007</v>
      </c>
      <c r="N48" s="26">
        <f>L48-M48</f>
        <v>350.97300000000001</v>
      </c>
      <c r="O48" s="10" t="s">
        <v>83</v>
      </c>
      <c r="P48" s="10" t="s">
        <v>61</v>
      </c>
      <c r="Q48" s="28" t="s">
        <v>62</v>
      </c>
    </row>
    <row r="49" spans="1:17" ht="15" customHeight="1" x14ac:dyDescent="0.25">
      <c r="A49" s="27" t="s">
        <v>151</v>
      </c>
      <c r="B49" s="11">
        <v>45773</v>
      </c>
      <c r="C49" s="10" t="s">
        <v>132</v>
      </c>
      <c r="D49" s="10" t="s">
        <v>133</v>
      </c>
      <c r="E49" s="10" t="s">
        <v>56</v>
      </c>
      <c r="F49" s="10" t="s">
        <v>57</v>
      </c>
      <c r="G49" s="10" t="s">
        <v>78</v>
      </c>
      <c r="H49" s="10" t="s">
        <v>69</v>
      </c>
      <c r="I49" s="26">
        <v>349.99</v>
      </c>
      <c r="J49" s="10">
        <v>1</v>
      </c>
      <c r="K49" s="12">
        <v>0</v>
      </c>
      <c r="L49" s="26">
        <f>I49*J49</f>
        <v>349.99</v>
      </c>
      <c r="M49" s="26">
        <f>L49*K49</f>
        <v>0</v>
      </c>
      <c r="N49" s="26">
        <f>L49-M49</f>
        <v>349.99</v>
      </c>
      <c r="O49" s="10" t="s">
        <v>70</v>
      </c>
      <c r="P49" s="10" t="s">
        <v>79</v>
      </c>
      <c r="Q49" s="28" t="s">
        <v>62</v>
      </c>
    </row>
    <row r="50" spans="1:17" ht="15" customHeight="1" x14ac:dyDescent="0.25">
      <c r="A50" s="27" t="s">
        <v>187</v>
      </c>
      <c r="B50" s="11">
        <v>45908</v>
      </c>
      <c r="C50" s="10" t="s">
        <v>107</v>
      </c>
      <c r="D50" s="10" t="s">
        <v>108</v>
      </c>
      <c r="E50" s="10" t="s">
        <v>76</v>
      </c>
      <c r="F50" s="10" t="s">
        <v>77</v>
      </c>
      <c r="G50" s="10" t="s">
        <v>104</v>
      </c>
      <c r="H50" s="10" t="s">
        <v>69</v>
      </c>
      <c r="I50" s="26">
        <v>79.989999999999995</v>
      </c>
      <c r="J50" s="10">
        <v>4</v>
      </c>
      <c r="K50" s="12">
        <v>0</v>
      </c>
      <c r="L50" s="26">
        <f>I50*J50</f>
        <v>319.95999999999998</v>
      </c>
      <c r="M50" s="26">
        <f>L50*K50</f>
        <v>0</v>
      </c>
      <c r="N50" s="26">
        <f>L50-M50</f>
        <v>319.95999999999998</v>
      </c>
      <c r="O50" s="10" t="s">
        <v>60</v>
      </c>
      <c r="P50" s="10" t="s">
        <v>61</v>
      </c>
      <c r="Q50" s="28" t="s">
        <v>62</v>
      </c>
    </row>
    <row r="51" spans="1:17" ht="15" customHeight="1" x14ac:dyDescent="0.25">
      <c r="A51" s="27" t="s">
        <v>156</v>
      </c>
      <c r="B51" s="11">
        <v>45788</v>
      </c>
      <c r="C51" s="10" t="s">
        <v>92</v>
      </c>
      <c r="D51" s="10" t="s">
        <v>93</v>
      </c>
      <c r="E51" s="10" t="s">
        <v>66</v>
      </c>
      <c r="F51" s="10" t="s">
        <v>67</v>
      </c>
      <c r="G51" s="10" t="s">
        <v>142</v>
      </c>
      <c r="H51" s="10" t="s">
        <v>110</v>
      </c>
      <c r="I51" s="26">
        <v>299.99</v>
      </c>
      <c r="J51" s="10">
        <v>1</v>
      </c>
      <c r="K51" s="12">
        <v>0</v>
      </c>
      <c r="L51" s="26">
        <f>I51*J51</f>
        <v>299.99</v>
      </c>
      <c r="M51" s="26">
        <f>L51*K51</f>
        <v>0</v>
      </c>
      <c r="N51" s="26">
        <f>L51-M51</f>
        <v>299.99</v>
      </c>
      <c r="O51" s="10" t="s">
        <v>70</v>
      </c>
      <c r="P51" s="10" t="s">
        <v>61</v>
      </c>
      <c r="Q51" s="28" t="s">
        <v>62</v>
      </c>
    </row>
    <row r="52" spans="1:17" ht="15" customHeight="1" x14ac:dyDescent="0.25">
      <c r="A52" s="27" t="s">
        <v>210</v>
      </c>
      <c r="B52" s="11">
        <v>46001</v>
      </c>
      <c r="C52" s="10" t="s">
        <v>107</v>
      </c>
      <c r="D52" s="10" t="s">
        <v>108</v>
      </c>
      <c r="E52" s="10" t="s">
        <v>76</v>
      </c>
      <c r="F52" s="10" t="s">
        <v>77</v>
      </c>
      <c r="G52" s="10" t="s">
        <v>58</v>
      </c>
      <c r="H52" s="10" t="s">
        <v>59</v>
      </c>
      <c r="I52" s="26">
        <v>59.99</v>
      </c>
      <c r="J52" s="10">
        <v>5</v>
      </c>
      <c r="K52" s="12">
        <v>0</v>
      </c>
      <c r="L52" s="26">
        <f>I52*J52</f>
        <v>299.95</v>
      </c>
      <c r="M52" s="26">
        <f>L52*K52</f>
        <v>0</v>
      </c>
      <c r="N52" s="26">
        <f>L52-M52</f>
        <v>299.95</v>
      </c>
      <c r="O52" s="10" t="s">
        <v>111</v>
      </c>
      <c r="P52" s="10" t="s">
        <v>105</v>
      </c>
      <c r="Q52" s="28" t="s">
        <v>62</v>
      </c>
    </row>
    <row r="53" spans="1:17" ht="15" customHeight="1" x14ac:dyDescent="0.25">
      <c r="A53" s="27" t="s">
        <v>214</v>
      </c>
      <c r="B53" s="11">
        <v>46015</v>
      </c>
      <c r="C53" s="10" t="s">
        <v>115</v>
      </c>
      <c r="D53" s="10" t="s">
        <v>116</v>
      </c>
      <c r="E53" s="10" t="s">
        <v>117</v>
      </c>
      <c r="F53" s="10" t="s">
        <v>118</v>
      </c>
      <c r="G53" s="10" t="s">
        <v>163</v>
      </c>
      <c r="H53" s="10" t="s">
        <v>110</v>
      </c>
      <c r="I53" s="26">
        <v>149.99</v>
      </c>
      <c r="J53" s="10">
        <v>2</v>
      </c>
      <c r="K53" s="12">
        <v>0.05</v>
      </c>
      <c r="L53" s="26">
        <f>I53*J53</f>
        <v>299.98</v>
      </c>
      <c r="M53" s="26">
        <f>L53*K53</f>
        <v>14.999000000000002</v>
      </c>
      <c r="N53" s="26">
        <f>L53-M53</f>
        <v>284.98099999999999</v>
      </c>
      <c r="O53" s="10" t="s">
        <v>70</v>
      </c>
      <c r="P53" s="10" t="s">
        <v>105</v>
      </c>
      <c r="Q53" s="28" t="s">
        <v>62</v>
      </c>
    </row>
    <row r="54" spans="1:17" ht="15" customHeight="1" x14ac:dyDescent="0.25">
      <c r="A54" s="27" t="s">
        <v>213</v>
      </c>
      <c r="B54" s="11">
        <v>46007</v>
      </c>
      <c r="C54" s="10" t="s">
        <v>74</v>
      </c>
      <c r="D54" s="10" t="s">
        <v>75</v>
      </c>
      <c r="E54" s="10" t="s">
        <v>76</v>
      </c>
      <c r="F54" s="10" t="s">
        <v>77</v>
      </c>
      <c r="G54" s="10" t="s">
        <v>68</v>
      </c>
      <c r="H54" s="10" t="s">
        <v>69</v>
      </c>
      <c r="I54" s="26">
        <v>69.989999999999995</v>
      </c>
      <c r="J54" s="10">
        <v>5</v>
      </c>
      <c r="K54" s="12">
        <v>0.2</v>
      </c>
      <c r="L54" s="26">
        <f>I54*J54</f>
        <v>349.95</v>
      </c>
      <c r="M54" s="26">
        <f>L54*K54</f>
        <v>69.989999999999995</v>
      </c>
      <c r="N54" s="26">
        <f>L54-M54</f>
        <v>279.95999999999998</v>
      </c>
      <c r="O54" s="10" t="s">
        <v>70</v>
      </c>
      <c r="P54" s="10" t="s">
        <v>61</v>
      </c>
      <c r="Q54" s="28" t="s">
        <v>62</v>
      </c>
    </row>
    <row r="55" spans="1:17" ht="15" customHeight="1" x14ac:dyDescent="0.25">
      <c r="A55" s="27" t="s">
        <v>96</v>
      </c>
      <c r="B55" s="11">
        <v>45700</v>
      </c>
      <c r="C55" s="10" t="s">
        <v>97</v>
      </c>
      <c r="D55" s="10" t="s">
        <v>98</v>
      </c>
      <c r="E55" s="10" t="s">
        <v>88</v>
      </c>
      <c r="F55" s="10" t="s">
        <v>89</v>
      </c>
      <c r="G55" s="10" t="s">
        <v>90</v>
      </c>
      <c r="H55" s="10" t="s">
        <v>69</v>
      </c>
      <c r="I55" s="26">
        <v>129.99</v>
      </c>
      <c r="J55" s="10">
        <v>2</v>
      </c>
      <c r="K55" s="12">
        <v>0</v>
      </c>
      <c r="L55" s="26">
        <f>I55*J55</f>
        <v>259.98</v>
      </c>
      <c r="M55" s="26">
        <f>L55*K55</f>
        <v>0</v>
      </c>
      <c r="N55" s="26">
        <f>L55-M55</f>
        <v>259.98</v>
      </c>
      <c r="O55" s="10" t="s">
        <v>70</v>
      </c>
      <c r="P55" s="10" t="s">
        <v>71</v>
      </c>
      <c r="Q55" s="28" t="s">
        <v>62</v>
      </c>
    </row>
    <row r="56" spans="1:17" ht="15" customHeight="1" x14ac:dyDescent="0.25">
      <c r="A56" s="27" t="s">
        <v>164</v>
      </c>
      <c r="B56" s="11">
        <v>45829</v>
      </c>
      <c r="C56" s="10" t="s">
        <v>54</v>
      </c>
      <c r="D56" s="10" t="s">
        <v>55</v>
      </c>
      <c r="E56" s="10" t="s">
        <v>56</v>
      </c>
      <c r="F56" s="10" t="s">
        <v>57</v>
      </c>
      <c r="G56" s="10" t="s">
        <v>90</v>
      </c>
      <c r="H56" s="10" t="s">
        <v>69</v>
      </c>
      <c r="I56" s="26">
        <v>129.99</v>
      </c>
      <c r="J56" s="10">
        <v>2</v>
      </c>
      <c r="K56" s="12">
        <v>0.05</v>
      </c>
      <c r="L56" s="26">
        <f>I56*J56</f>
        <v>259.98</v>
      </c>
      <c r="M56" s="26">
        <f>L56*K56</f>
        <v>12.999000000000002</v>
      </c>
      <c r="N56" s="26">
        <f>L56-M56</f>
        <v>246.98100000000002</v>
      </c>
      <c r="O56" s="10" t="s">
        <v>70</v>
      </c>
      <c r="P56" s="10" t="s">
        <v>105</v>
      </c>
      <c r="Q56" s="28" t="s">
        <v>62</v>
      </c>
    </row>
    <row r="57" spans="1:17" ht="15" customHeight="1" x14ac:dyDescent="0.25">
      <c r="A57" s="27" t="s">
        <v>103</v>
      </c>
      <c r="B57" s="11">
        <v>45701</v>
      </c>
      <c r="C57" s="10" t="s">
        <v>54</v>
      </c>
      <c r="D57" s="10" t="s">
        <v>55</v>
      </c>
      <c r="E57" s="10" t="s">
        <v>56</v>
      </c>
      <c r="F57" s="10" t="s">
        <v>57</v>
      </c>
      <c r="G57" s="10" t="s">
        <v>104</v>
      </c>
      <c r="H57" s="10" t="s">
        <v>69</v>
      </c>
      <c r="I57" s="26">
        <v>79.989999999999995</v>
      </c>
      <c r="J57" s="10">
        <v>3</v>
      </c>
      <c r="K57" s="12">
        <v>0</v>
      </c>
      <c r="L57" s="26">
        <f>I57*J57</f>
        <v>239.96999999999997</v>
      </c>
      <c r="M57" s="26">
        <f>L57*K57</f>
        <v>0</v>
      </c>
      <c r="N57" s="26">
        <f>L57-M57</f>
        <v>239.96999999999997</v>
      </c>
      <c r="O57" s="10" t="s">
        <v>70</v>
      </c>
      <c r="P57" s="10" t="s">
        <v>105</v>
      </c>
      <c r="Q57" s="28" t="s">
        <v>72</v>
      </c>
    </row>
    <row r="58" spans="1:17" ht="15" customHeight="1" x14ac:dyDescent="0.25">
      <c r="A58" s="27" t="s">
        <v>53</v>
      </c>
      <c r="B58" s="11">
        <v>45659</v>
      </c>
      <c r="C58" s="10" t="s">
        <v>54</v>
      </c>
      <c r="D58" s="10" t="s">
        <v>55</v>
      </c>
      <c r="E58" s="10" t="s">
        <v>56</v>
      </c>
      <c r="F58" s="10" t="s">
        <v>57</v>
      </c>
      <c r="G58" s="10" t="s">
        <v>58</v>
      </c>
      <c r="H58" s="10" t="s">
        <v>59</v>
      </c>
      <c r="I58" s="26">
        <v>59.99</v>
      </c>
      <c r="J58" s="10">
        <v>5</v>
      </c>
      <c r="K58" s="12">
        <v>0.2</v>
      </c>
      <c r="L58" s="26">
        <f>I58*J58</f>
        <v>299.95</v>
      </c>
      <c r="M58" s="26">
        <f>L58*K58</f>
        <v>59.99</v>
      </c>
      <c r="N58" s="26">
        <f>L58-M58</f>
        <v>239.95999999999998</v>
      </c>
      <c r="O58" s="10" t="s">
        <v>60</v>
      </c>
      <c r="P58" s="10" t="s">
        <v>61</v>
      </c>
      <c r="Q58" s="28" t="s">
        <v>62</v>
      </c>
    </row>
    <row r="59" spans="1:17" ht="15" customHeight="1" x14ac:dyDescent="0.25">
      <c r="A59" s="27" t="s">
        <v>183</v>
      </c>
      <c r="B59" s="11">
        <v>45895</v>
      </c>
      <c r="C59" s="10" t="s">
        <v>86</v>
      </c>
      <c r="D59" s="10" t="s">
        <v>87</v>
      </c>
      <c r="E59" s="10" t="s">
        <v>88</v>
      </c>
      <c r="F59" s="10" t="s">
        <v>89</v>
      </c>
      <c r="G59" s="10" t="s">
        <v>90</v>
      </c>
      <c r="H59" s="10" t="s">
        <v>69</v>
      </c>
      <c r="I59" s="26">
        <v>129.99</v>
      </c>
      <c r="J59" s="10">
        <v>2</v>
      </c>
      <c r="K59" s="12">
        <v>0.15</v>
      </c>
      <c r="L59" s="26">
        <f>I59*J59</f>
        <v>259.98</v>
      </c>
      <c r="M59" s="26">
        <f>L59*K59</f>
        <v>38.997</v>
      </c>
      <c r="N59" s="26">
        <f>L59-M59</f>
        <v>220.983</v>
      </c>
      <c r="O59" s="10" t="s">
        <v>70</v>
      </c>
      <c r="P59" s="10" t="s">
        <v>105</v>
      </c>
      <c r="Q59" s="28" t="s">
        <v>62</v>
      </c>
    </row>
    <row r="60" spans="1:17" ht="15" customHeight="1" x14ac:dyDescent="0.25">
      <c r="A60" s="27" t="s">
        <v>209</v>
      </c>
      <c r="B60" s="11">
        <v>45999</v>
      </c>
      <c r="C60" s="10" t="s">
        <v>54</v>
      </c>
      <c r="D60" s="10" t="s">
        <v>55</v>
      </c>
      <c r="E60" s="10" t="s">
        <v>56</v>
      </c>
      <c r="F60" s="10" t="s">
        <v>57</v>
      </c>
      <c r="G60" s="10" t="s">
        <v>129</v>
      </c>
      <c r="H60" s="10" t="s">
        <v>69</v>
      </c>
      <c r="I60" s="26">
        <v>49.99</v>
      </c>
      <c r="J60" s="10">
        <v>4</v>
      </c>
      <c r="K60" s="12">
        <v>0</v>
      </c>
      <c r="L60" s="26">
        <f>I60*J60</f>
        <v>199.96</v>
      </c>
      <c r="M60" s="26">
        <f>L60*K60</f>
        <v>0</v>
      </c>
      <c r="N60" s="26">
        <f>L60-M60</f>
        <v>199.96</v>
      </c>
      <c r="O60" s="10" t="s">
        <v>111</v>
      </c>
      <c r="P60" s="10" t="s">
        <v>61</v>
      </c>
      <c r="Q60" s="28" t="s">
        <v>84</v>
      </c>
    </row>
    <row r="61" spans="1:17" ht="15" customHeight="1" x14ac:dyDescent="0.25">
      <c r="A61" s="27" t="s">
        <v>63</v>
      </c>
      <c r="B61" s="11">
        <v>45665</v>
      </c>
      <c r="C61" s="10" t="s">
        <v>64</v>
      </c>
      <c r="D61" s="10" t="s">
        <v>65</v>
      </c>
      <c r="E61" s="10" t="s">
        <v>66</v>
      </c>
      <c r="F61" s="10" t="s">
        <v>67</v>
      </c>
      <c r="G61" s="10" t="s">
        <v>68</v>
      </c>
      <c r="H61" s="10" t="s">
        <v>69</v>
      </c>
      <c r="I61" s="26">
        <v>69.989999999999995</v>
      </c>
      <c r="J61" s="10">
        <v>3</v>
      </c>
      <c r="K61" s="12">
        <v>0.05</v>
      </c>
      <c r="L61" s="26">
        <f>I61*J61</f>
        <v>209.96999999999997</v>
      </c>
      <c r="M61" s="26">
        <f>L61*K61</f>
        <v>10.4985</v>
      </c>
      <c r="N61" s="26">
        <f>L61-M61</f>
        <v>199.47149999999996</v>
      </c>
      <c r="O61" s="10" t="s">
        <v>70</v>
      </c>
      <c r="P61" s="10" t="s">
        <v>71</v>
      </c>
      <c r="Q61" s="28" t="s">
        <v>72</v>
      </c>
    </row>
    <row r="62" spans="1:17" ht="15" customHeight="1" x14ac:dyDescent="0.25">
      <c r="A62" s="27" t="s">
        <v>204</v>
      </c>
      <c r="B62" s="11">
        <v>45980</v>
      </c>
      <c r="C62" s="10" t="s">
        <v>92</v>
      </c>
      <c r="D62" s="10" t="s">
        <v>93</v>
      </c>
      <c r="E62" s="10" t="s">
        <v>66</v>
      </c>
      <c r="F62" s="10" t="s">
        <v>67</v>
      </c>
      <c r="G62" s="10" t="s">
        <v>58</v>
      </c>
      <c r="H62" s="10" t="s">
        <v>59</v>
      </c>
      <c r="I62" s="26">
        <v>59.99</v>
      </c>
      <c r="J62" s="10">
        <v>3</v>
      </c>
      <c r="K62" s="12">
        <v>0</v>
      </c>
      <c r="L62" s="26">
        <f>I62*J62</f>
        <v>179.97</v>
      </c>
      <c r="M62" s="26">
        <f>L62*K62</f>
        <v>0</v>
      </c>
      <c r="N62" s="26">
        <f>L62-M62</f>
        <v>179.97</v>
      </c>
      <c r="O62" s="10" t="s">
        <v>70</v>
      </c>
      <c r="P62" s="10" t="s">
        <v>105</v>
      </c>
      <c r="Q62" s="28" t="s">
        <v>72</v>
      </c>
    </row>
    <row r="63" spans="1:17" ht="15" customHeight="1" x14ac:dyDescent="0.25">
      <c r="A63" s="27" t="s">
        <v>137</v>
      </c>
      <c r="B63" s="11">
        <v>45737</v>
      </c>
      <c r="C63" s="10" t="s">
        <v>107</v>
      </c>
      <c r="D63" s="10" t="s">
        <v>108</v>
      </c>
      <c r="E63" s="10" t="s">
        <v>76</v>
      </c>
      <c r="F63" s="10" t="s">
        <v>77</v>
      </c>
      <c r="G63" s="10" t="s">
        <v>129</v>
      </c>
      <c r="H63" s="10" t="s">
        <v>69</v>
      </c>
      <c r="I63" s="26">
        <v>49.99</v>
      </c>
      <c r="J63" s="10">
        <v>4</v>
      </c>
      <c r="K63" s="12">
        <v>0.1</v>
      </c>
      <c r="L63" s="26">
        <f>I63*J63</f>
        <v>199.96</v>
      </c>
      <c r="M63" s="26">
        <f>L63*K63</f>
        <v>19.996000000000002</v>
      </c>
      <c r="N63" s="26">
        <f>L63-M63</f>
        <v>179.964</v>
      </c>
      <c r="O63" s="10" t="s">
        <v>70</v>
      </c>
      <c r="P63" s="10" t="s">
        <v>79</v>
      </c>
      <c r="Q63" s="28" t="s">
        <v>62</v>
      </c>
    </row>
    <row r="64" spans="1:17" ht="15" customHeight="1" x14ac:dyDescent="0.25">
      <c r="A64" s="27" t="s">
        <v>124</v>
      </c>
      <c r="B64" s="11">
        <v>45714</v>
      </c>
      <c r="C64" s="10" t="s">
        <v>64</v>
      </c>
      <c r="D64" s="10" t="s">
        <v>65</v>
      </c>
      <c r="E64" s="10" t="s">
        <v>66</v>
      </c>
      <c r="F64" s="10" t="s">
        <v>67</v>
      </c>
      <c r="G64" s="10" t="s">
        <v>58</v>
      </c>
      <c r="H64" s="10" t="s">
        <v>59</v>
      </c>
      <c r="I64" s="26">
        <v>59.99</v>
      </c>
      <c r="J64" s="10">
        <v>3</v>
      </c>
      <c r="K64" s="12">
        <v>0.1</v>
      </c>
      <c r="L64" s="26">
        <f>I64*J64</f>
        <v>179.97</v>
      </c>
      <c r="M64" s="26">
        <f>L64*K64</f>
        <v>17.997</v>
      </c>
      <c r="N64" s="26">
        <f>L64-M64</f>
        <v>161.97300000000001</v>
      </c>
      <c r="O64" s="10" t="s">
        <v>70</v>
      </c>
      <c r="P64" s="10" t="s">
        <v>105</v>
      </c>
      <c r="Q64" s="28" t="s">
        <v>62</v>
      </c>
    </row>
    <row r="65" spans="1:17" ht="15" customHeight="1" x14ac:dyDescent="0.25">
      <c r="A65" s="27" t="s">
        <v>172</v>
      </c>
      <c r="B65" s="11">
        <v>45854</v>
      </c>
      <c r="C65" s="10" t="s">
        <v>148</v>
      </c>
      <c r="D65" s="10" t="s">
        <v>149</v>
      </c>
      <c r="E65" s="10" t="s">
        <v>117</v>
      </c>
      <c r="F65" s="10" t="s">
        <v>118</v>
      </c>
      <c r="G65" s="10" t="s">
        <v>139</v>
      </c>
      <c r="H65" s="10" t="s">
        <v>110</v>
      </c>
      <c r="I65" s="26">
        <v>39.99</v>
      </c>
      <c r="J65" s="10">
        <v>4</v>
      </c>
      <c r="K65" s="12">
        <v>0</v>
      </c>
      <c r="L65" s="26">
        <f>I65*J65</f>
        <v>159.96</v>
      </c>
      <c r="M65" s="26">
        <f>L65*K65</f>
        <v>0</v>
      </c>
      <c r="N65" s="26">
        <f>L65-M65</f>
        <v>159.96</v>
      </c>
      <c r="O65" s="10" t="s">
        <v>70</v>
      </c>
      <c r="P65" s="10" t="s">
        <v>79</v>
      </c>
      <c r="Q65" s="28" t="s">
        <v>62</v>
      </c>
    </row>
    <row r="66" spans="1:17" ht="15" customHeight="1" x14ac:dyDescent="0.25">
      <c r="A66" s="27" t="s">
        <v>150</v>
      </c>
      <c r="B66" s="11">
        <v>45770</v>
      </c>
      <c r="C66" s="10" t="s">
        <v>107</v>
      </c>
      <c r="D66" s="10" t="s">
        <v>108</v>
      </c>
      <c r="E66" s="10" t="s">
        <v>76</v>
      </c>
      <c r="F66" s="10" t="s">
        <v>77</v>
      </c>
      <c r="G66" s="10" t="s">
        <v>139</v>
      </c>
      <c r="H66" s="10" t="s">
        <v>110</v>
      </c>
      <c r="I66" s="26">
        <v>39.99</v>
      </c>
      <c r="J66" s="10">
        <v>4</v>
      </c>
      <c r="K66" s="12">
        <v>0.05</v>
      </c>
      <c r="L66" s="26">
        <f>I66*J66</f>
        <v>159.96</v>
      </c>
      <c r="M66" s="26">
        <f>L66*K66</f>
        <v>7.9980000000000011</v>
      </c>
      <c r="N66" s="26">
        <f>L66-M66</f>
        <v>151.96200000000002</v>
      </c>
      <c r="O66" s="10" t="s">
        <v>83</v>
      </c>
      <c r="P66" s="10" t="s">
        <v>71</v>
      </c>
      <c r="Q66" s="28" t="s">
        <v>62</v>
      </c>
    </row>
    <row r="67" spans="1:17" ht="15" customHeight="1" x14ac:dyDescent="0.25">
      <c r="A67" s="27" t="s">
        <v>130</v>
      </c>
      <c r="B67" s="11">
        <v>45725</v>
      </c>
      <c r="C67" s="10" t="s">
        <v>74</v>
      </c>
      <c r="D67" s="10" t="s">
        <v>75</v>
      </c>
      <c r="E67" s="10" t="s">
        <v>76</v>
      </c>
      <c r="F67" s="10" t="s">
        <v>77</v>
      </c>
      <c r="G67" s="10" t="s">
        <v>102</v>
      </c>
      <c r="H67" s="10" t="s">
        <v>69</v>
      </c>
      <c r="I67" s="26">
        <v>29.99</v>
      </c>
      <c r="J67" s="10">
        <v>5</v>
      </c>
      <c r="K67" s="12">
        <v>0</v>
      </c>
      <c r="L67" s="26">
        <f>I67*J67</f>
        <v>149.94999999999999</v>
      </c>
      <c r="M67" s="26">
        <f>L67*K67</f>
        <v>0</v>
      </c>
      <c r="N67" s="26">
        <f>L67-M67</f>
        <v>149.94999999999999</v>
      </c>
      <c r="O67" s="10" t="s">
        <v>70</v>
      </c>
      <c r="P67" s="10" t="s">
        <v>105</v>
      </c>
      <c r="Q67" s="28" t="s">
        <v>62</v>
      </c>
    </row>
    <row r="68" spans="1:17" ht="15" customHeight="1" x14ac:dyDescent="0.25">
      <c r="A68" s="27" t="s">
        <v>138</v>
      </c>
      <c r="B68" s="11">
        <v>45740</v>
      </c>
      <c r="C68" s="10" t="s">
        <v>92</v>
      </c>
      <c r="D68" s="10" t="s">
        <v>93</v>
      </c>
      <c r="E68" s="10" t="s">
        <v>66</v>
      </c>
      <c r="F68" s="10" t="s">
        <v>67</v>
      </c>
      <c r="G68" s="10" t="s">
        <v>139</v>
      </c>
      <c r="H68" s="10" t="s">
        <v>110</v>
      </c>
      <c r="I68" s="26">
        <v>39.99</v>
      </c>
      <c r="J68" s="10">
        <v>4</v>
      </c>
      <c r="K68" s="12">
        <v>0.1</v>
      </c>
      <c r="L68" s="26">
        <f>I68*J68</f>
        <v>159.96</v>
      </c>
      <c r="M68" s="26">
        <f>L68*K68</f>
        <v>15.996000000000002</v>
      </c>
      <c r="N68" s="26">
        <f>L68-M68</f>
        <v>143.964</v>
      </c>
      <c r="O68" s="10" t="s">
        <v>70</v>
      </c>
      <c r="P68" s="10" t="s">
        <v>71</v>
      </c>
      <c r="Q68" s="28" t="s">
        <v>62</v>
      </c>
    </row>
    <row r="69" spans="1:17" ht="15" customHeight="1" x14ac:dyDescent="0.25">
      <c r="A69" s="27" t="s">
        <v>157</v>
      </c>
      <c r="B69" s="11">
        <v>45790</v>
      </c>
      <c r="C69" s="10" t="s">
        <v>107</v>
      </c>
      <c r="D69" s="10" t="s">
        <v>108</v>
      </c>
      <c r="E69" s="10" t="s">
        <v>76</v>
      </c>
      <c r="F69" s="10" t="s">
        <v>77</v>
      </c>
      <c r="G69" s="10" t="s">
        <v>129</v>
      </c>
      <c r="H69" s="10" t="s">
        <v>69</v>
      </c>
      <c r="I69" s="26">
        <v>49.99</v>
      </c>
      <c r="J69" s="10">
        <v>3</v>
      </c>
      <c r="K69" s="12">
        <v>0.05</v>
      </c>
      <c r="L69" s="26">
        <f>I69*J69</f>
        <v>149.97</v>
      </c>
      <c r="M69" s="26">
        <f>L69*K69</f>
        <v>7.4984999999999999</v>
      </c>
      <c r="N69" s="26">
        <f>L69-M69</f>
        <v>142.47149999999999</v>
      </c>
      <c r="O69" s="10" t="s">
        <v>70</v>
      </c>
      <c r="P69" s="10" t="s">
        <v>71</v>
      </c>
      <c r="Q69" s="28" t="s">
        <v>62</v>
      </c>
    </row>
    <row r="70" spans="1:17" ht="15" customHeight="1" x14ac:dyDescent="0.25">
      <c r="A70" s="27" t="s">
        <v>167</v>
      </c>
      <c r="B70" s="11">
        <v>45844</v>
      </c>
      <c r="C70" s="10" t="s">
        <v>54</v>
      </c>
      <c r="D70" s="10" t="s">
        <v>55</v>
      </c>
      <c r="E70" s="10" t="s">
        <v>56</v>
      </c>
      <c r="F70" s="10" t="s">
        <v>57</v>
      </c>
      <c r="G70" s="10" t="s">
        <v>104</v>
      </c>
      <c r="H70" s="10" t="s">
        <v>69</v>
      </c>
      <c r="I70" s="26">
        <v>79.989999999999995</v>
      </c>
      <c r="J70" s="10">
        <v>2</v>
      </c>
      <c r="K70" s="12">
        <v>0.2</v>
      </c>
      <c r="L70" s="26">
        <f>I70*J70</f>
        <v>159.97999999999999</v>
      </c>
      <c r="M70" s="26">
        <f>L70*K70</f>
        <v>31.995999999999999</v>
      </c>
      <c r="N70" s="26">
        <f>L70-M70</f>
        <v>127.98399999999999</v>
      </c>
      <c r="O70" s="10" t="s">
        <v>70</v>
      </c>
      <c r="P70" s="10" t="s">
        <v>79</v>
      </c>
      <c r="Q70" s="28" t="s">
        <v>62</v>
      </c>
    </row>
    <row r="71" spans="1:17" ht="15" customHeight="1" x14ac:dyDescent="0.25">
      <c r="A71" s="27" t="s">
        <v>191</v>
      </c>
      <c r="B71" s="11">
        <v>45925</v>
      </c>
      <c r="C71" s="10" t="s">
        <v>54</v>
      </c>
      <c r="D71" s="10" t="s">
        <v>55</v>
      </c>
      <c r="E71" s="10" t="s">
        <v>56</v>
      </c>
      <c r="F71" s="10" t="s">
        <v>57</v>
      </c>
      <c r="G71" s="10" t="s">
        <v>139</v>
      </c>
      <c r="H71" s="10" t="s">
        <v>110</v>
      </c>
      <c r="I71" s="26">
        <v>39.99</v>
      </c>
      <c r="J71" s="10">
        <v>4</v>
      </c>
      <c r="K71" s="12">
        <v>0.2</v>
      </c>
      <c r="L71" s="26">
        <f>I71*J71</f>
        <v>159.96</v>
      </c>
      <c r="M71" s="26">
        <f>L71*K71</f>
        <v>31.992000000000004</v>
      </c>
      <c r="N71" s="26">
        <f>L71-M71</f>
        <v>127.968</v>
      </c>
      <c r="O71" s="10" t="s">
        <v>111</v>
      </c>
      <c r="P71" s="10" t="s">
        <v>105</v>
      </c>
      <c r="Q71" s="28" t="s">
        <v>84</v>
      </c>
    </row>
    <row r="72" spans="1:17" ht="15" customHeight="1" x14ac:dyDescent="0.25">
      <c r="A72" s="27" t="s">
        <v>143</v>
      </c>
      <c r="B72" s="11">
        <v>45753</v>
      </c>
      <c r="C72" s="10" t="s">
        <v>86</v>
      </c>
      <c r="D72" s="10" t="s">
        <v>87</v>
      </c>
      <c r="E72" s="10" t="s">
        <v>88</v>
      </c>
      <c r="F72" s="10" t="s">
        <v>89</v>
      </c>
      <c r="G72" s="10" t="s">
        <v>135</v>
      </c>
      <c r="H72" s="10" t="s">
        <v>59</v>
      </c>
      <c r="I72" s="26">
        <v>24.99</v>
      </c>
      <c r="J72" s="10">
        <v>5</v>
      </c>
      <c r="K72" s="12">
        <v>0.05</v>
      </c>
      <c r="L72" s="26">
        <f>I72*J72</f>
        <v>124.94999999999999</v>
      </c>
      <c r="M72" s="26">
        <f>L72*K72</f>
        <v>6.2474999999999996</v>
      </c>
      <c r="N72" s="26">
        <f>L72-M72</f>
        <v>118.70249999999999</v>
      </c>
      <c r="O72" s="10" t="s">
        <v>70</v>
      </c>
      <c r="P72" s="10" t="s">
        <v>61</v>
      </c>
      <c r="Q72" s="28" t="s">
        <v>62</v>
      </c>
    </row>
    <row r="73" spans="1:17" ht="15" customHeight="1" x14ac:dyDescent="0.25">
      <c r="A73" s="27" t="s">
        <v>206</v>
      </c>
      <c r="B73" s="11">
        <v>45985</v>
      </c>
      <c r="C73" s="10" t="s">
        <v>92</v>
      </c>
      <c r="D73" s="10" t="s">
        <v>93</v>
      </c>
      <c r="E73" s="10" t="s">
        <v>66</v>
      </c>
      <c r="F73" s="10" t="s">
        <v>67</v>
      </c>
      <c r="G73" s="10" t="s">
        <v>90</v>
      </c>
      <c r="H73" s="10" t="s">
        <v>69</v>
      </c>
      <c r="I73" s="26">
        <v>129.99</v>
      </c>
      <c r="J73" s="10">
        <v>1</v>
      </c>
      <c r="K73" s="12">
        <v>0.1</v>
      </c>
      <c r="L73" s="26">
        <f>I73*J73</f>
        <v>129.99</v>
      </c>
      <c r="M73" s="26">
        <f>L73*K73</f>
        <v>12.999000000000002</v>
      </c>
      <c r="N73" s="26">
        <f>L73-M73</f>
        <v>116.99100000000001</v>
      </c>
      <c r="O73" s="10" t="s">
        <v>70</v>
      </c>
      <c r="P73" s="10" t="s">
        <v>71</v>
      </c>
      <c r="Q73" s="28" t="s">
        <v>62</v>
      </c>
    </row>
    <row r="74" spans="1:17" ht="15" customHeight="1" x14ac:dyDescent="0.25">
      <c r="A74" s="27" t="s">
        <v>185</v>
      </c>
      <c r="B74" s="11">
        <v>45904</v>
      </c>
      <c r="C74" s="10" t="s">
        <v>81</v>
      </c>
      <c r="D74" s="10" t="s">
        <v>82</v>
      </c>
      <c r="E74" s="10" t="s">
        <v>76</v>
      </c>
      <c r="F74" s="10" t="s">
        <v>77</v>
      </c>
      <c r="G74" s="10" t="s">
        <v>90</v>
      </c>
      <c r="H74" s="10" t="s">
        <v>69</v>
      </c>
      <c r="I74" s="26">
        <v>129.99</v>
      </c>
      <c r="J74" s="10">
        <v>1</v>
      </c>
      <c r="K74" s="12">
        <v>0.1</v>
      </c>
      <c r="L74" s="26">
        <f>I74*J74</f>
        <v>129.99</v>
      </c>
      <c r="M74" s="26">
        <f>L74*K74</f>
        <v>12.999000000000002</v>
      </c>
      <c r="N74" s="26">
        <f>L74-M74</f>
        <v>116.99100000000001</v>
      </c>
      <c r="O74" s="10" t="s">
        <v>70</v>
      </c>
      <c r="P74" s="10" t="s">
        <v>105</v>
      </c>
      <c r="Q74" s="28" t="s">
        <v>62</v>
      </c>
    </row>
    <row r="75" spans="1:17" ht="15" customHeight="1" x14ac:dyDescent="0.25">
      <c r="A75" s="27" t="s">
        <v>178</v>
      </c>
      <c r="B75" s="11">
        <v>45874</v>
      </c>
      <c r="C75" s="10" t="s">
        <v>54</v>
      </c>
      <c r="D75" s="10" t="s">
        <v>55</v>
      </c>
      <c r="E75" s="10" t="s">
        <v>56</v>
      </c>
      <c r="F75" s="10" t="s">
        <v>57</v>
      </c>
      <c r="G75" s="10" t="s">
        <v>135</v>
      </c>
      <c r="H75" s="10" t="s">
        <v>59</v>
      </c>
      <c r="I75" s="26">
        <v>24.99</v>
      </c>
      <c r="J75" s="10">
        <v>5</v>
      </c>
      <c r="K75" s="12">
        <v>0.1</v>
      </c>
      <c r="L75" s="26">
        <f>I75*J75</f>
        <v>124.94999999999999</v>
      </c>
      <c r="M75" s="26">
        <f>L75*K75</f>
        <v>12.494999999999999</v>
      </c>
      <c r="N75" s="26">
        <f>L75-M75</f>
        <v>112.45499999999998</v>
      </c>
      <c r="O75" s="10" t="s">
        <v>60</v>
      </c>
      <c r="P75" s="10" t="s">
        <v>105</v>
      </c>
      <c r="Q75" s="28" t="s">
        <v>62</v>
      </c>
    </row>
    <row r="76" spans="1:17" ht="15" customHeight="1" x14ac:dyDescent="0.25">
      <c r="A76" s="27" t="s">
        <v>203</v>
      </c>
      <c r="B76" s="11">
        <v>45975</v>
      </c>
      <c r="C76" s="10" t="s">
        <v>54</v>
      </c>
      <c r="D76" s="10" t="s">
        <v>55</v>
      </c>
      <c r="E76" s="10" t="s">
        <v>56</v>
      </c>
      <c r="F76" s="10" t="s">
        <v>57</v>
      </c>
      <c r="G76" s="10" t="s">
        <v>129</v>
      </c>
      <c r="H76" s="10" t="s">
        <v>69</v>
      </c>
      <c r="I76" s="26">
        <v>49.99</v>
      </c>
      <c r="J76" s="10">
        <v>2</v>
      </c>
      <c r="K76" s="12">
        <v>0</v>
      </c>
      <c r="L76" s="26">
        <f>I76*J76</f>
        <v>99.98</v>
      </c>
      <c r="M76" s="26">
        <f>L76*K76</f>
        <v>0</v>
      </c>
      <c r="N76" s="26">
        <f>L76-M76</f>
        <v>99.98</v>
      </c>
      <c r="O76" s="10" t="s">
        <v>70</v>
      </c>
      <c r="P76" s="10" t="s">
        <v>79</v>
      </c>
      <c r="Q76" s="28" t="s">
        <v>84</v>
      </c>
    </row>
    <row r="77" spans="1:17" ht="15" customHeight="1" x14ac:dyDescent="0.25">
      <c r="A77" s="27" t="s">
        <v>215</v>
      </c>
      <c r="B77" s="11">
        <v>46019</v>
      </c>
      <c r="C77" s="10" t="s">
        <v>54</v>
      </c>
      <c r="D77" s="10" t="s">
        <v>55</v>
      </c>
      <c r="E77" s="10" t="s">
        <v>56</v>
      </c>
      <c r="F77" s="10" t="s">
        <v>57</v>
      </c>
      <c r="G77" s="10" t="s">
        <v>139</v>
      </c>
      <c r="H77" s="10" t="s">
        <v>110</v>
      </c>
      <c r="I77" s="26">
        <v>39.99</v>
      </c>
      <c r="J77" s="10">
        <v>3</v>
      </c>
      <c r="K77" s="12">
        <v>0.2</v>
      </c>
      <c r="L77" s="26">
        <f>I77*J77</f>
        <v>119.97</v>
      </c>
      <c r="M77" s="26">
        <f>L77*K77</f>
        <v>23.994</v>
      </c>
      <c r="N77" s="26">
        <f>L77-M77</f>
        <v>95.975999999999999</v>
      </c>
      <c r="O77" s="10" t="s">
        <v>70</v>
      </c>
      <c r="P77" s="10" t="s">
        <v>105</v>
      </c>
      <c r="Q77" s="28" t="s">
        <v>62</v>
      </c>
    </row>
    <row r="78" spans="1:17" ht="15" customHeight="1" x14ac:dyDescent="0.25">
      <c r="A78" s="27" t="s">
        <v>215</v>
      </c>
      <c r="B78" s="11">
        <v>46019</v>
      </c>
      <c r="C78" s="10" t="s">
        <v>54</v>
      </c>
      <c r="D78" s="10" t="s">
        <v>55</v>
      </c>
      <c r="E78" s="10" t="s">
        <v>56</v>
      </c>
      <c r="F78" s="10" t="s">
        <v>57</v>
      </c>
      <c r="G78" s="10" t="s">
        <v>139</v>
      </c>
      <c r="H78" s="10" t="s">
        <v>110</v>
      </c>
      <c r="I78" s="26">
        <v>39.99</v>
      </c>
      <c r="J78" s="10">
        <v>3</v>
      </c>
      <c r="K78" s="12">
        <v>0.2</v>
      </c>
      <c r="L78" s="26">
        <f>I78*J78</f>
        <v>119.97</v>
      </c>
      <c r="M78" s="26">
        <f>L78*K78</f>
        <v>23.994</v>
      </c>
      <c r="N78" s="26">
        <f>L78-M78</f>
        <v>95.975999999999999</v>
      </c>
      <c r="O78" s="10" t="s">
        <v>70</v>
      </c>
      <c r="P78" s="10" t="s">
        <v>105</v>
      </c>
      <c r="Q78" s="28" t="s">
        <v>62</v>
      </c>
    </row>
    <row r="79" spans="1:17" ht="15" customHeight="1" x14ac:dyDescent="0.25">
      <c r="A79" s="27" t="s">
        <v>168</v>
      </c>
      <c r="B79" s="11">
        <v>45846</v>
      </c>
      <c r="C79" s="10" t="s">
        <v>115</v>
      </c>
      <c r="D79" s="10" t="s">
        <v>116</v>
      </c>
      <c r="E79" s="10" t="s">
        <v>117</v>
      </c>
      <c r="F79" s="10" t="s">
        <v>118</v>
      </c>
      <c r="G79" s="10" t="s">
        <v>139</v>
      </c>
      <c r="H79" s="10" t="s">
        <v>110</v>
      </c>
      <c r="I79" s="26">
        <v>39.99</v>
      </c>
      <c r="J79" s="10">
        <v>3</v>
      </c>
      <c r="K79" s="12">
        <v>0.2</v>
      </c>
      <c r="L79" s="26">
        <f>I79*J79</f>
        <v>119.97</v>
      </c>
      <c r="M79" s="26">
        <f>L79*K79</f>
        <v>23.994</v>
      </c>
      <c r="N79" s="26">
        <f>L79-M79</f>
        <v>95.975999999999999</v>
      </c>
      <c r="O79" s="10" t="s">
        <v>83</v>
      </c>
      <c r="P79" s="10" t="s">
        <v>71</v>
      </c>
      <c r="Q79" s="28" t="s">
        <v>72</v>
      </c>
    </row>
    <row r="80" spans="1:17" ht="15" customHeight="1" x14ac:dyDescent="0.25">
      <c r="A80" s="27" t="s">
        <v>99</v>
      </c>
      <c r="B80" s="11">
        <v>45701</v>
      </c>
      <c r="C80" s="10" t="s">
        <v>100</v>
      </c>
      <c r="D80" s="10" t="s">
        <v>101</v>
      </c>
      <c r="E80" s="10" t="s">
        <v>66</v>
      </c>
      <c r="F80" s="10" t="s">
        <v>67</v>
      </c>
      <c r="G80" s="10" t="s">
        <v>102</v>
      </c>
      <c r="H80" s="10" t="s">
        <v>69</v>
      </c>
      <c r="I80" s="26">
        <v>29.99</v>
      </c>
      <c r="J80" s="10">
        <v>3</v>
      </c>
      <c r="K80" s="12">
        <v>0.1</v>
      </c>
      <c r="L80" s="26">
        <f>I80*J80</f>
        <v>89.97</v>
      </c>
      <c r="M80" s="26">
        <f>L80*K80</f>
        <v>8.9969999999999999</v>
      </c>
      <c r="N80" s="26">
        <f>L80-M80</f>
        <v>80.972999999999999</v>
      </c>
      <c r="O80" s="10" t="s">
        <v>70</v>
      </c>
      <c r="P80" s="10" t="s">
        <v>71</v>
      </c>
      <c r="Q80" s="28" t="s">
        <v>62</v>
      </c>
    </row>
    <row r="81" spans="1:17" ht="15" customHeight="1" x14ac:dyDescent="0.25">
      <c r="A81" s="27" t="s">
        <v>126</v>
      </c>
      <c r="B81" s="11">
        <v>45718</v>
      </c>
      <c r="C81" s="10" t="s">
        <v>100</v>
      </c>
      <c r="D81" s="10" t="s">
        <v>101</v>
      </c>
      <c r="E81" s="10" t="s">
        <v>66</v>
      </c>
      <c r="F81" s="10" t="s">
        <v>67</v>
      </c>
      <c r="G81" s="10" t="s">
        <v>104</v>
      </c>
      <c r="H81" s="10" t="s">
        <v>69</v>
      </c>
      <c r="I81" s="26">
        <v>79.989999999999995</v>
      </c>
      <c r="J81" s="10">
        <v>1</v>
      </c>
      <c r="K81" s="12">
        <v>0</v>
      </c>
      <c r="L81" s="26">
        <f>I81*J81</f>
        <v>79.989999999999995</v>
      </c>
      <c r="M81" s="26">
        <f>L81*K81</f>
        <v>0</v>
      </c>
      <c r="N81" s="26">
        <f>L81-M81</f>
        <v>79.989999999999995</v>
      </c>
      <c r="O81" s="10" t="s">
        <v>70</v>
      </c>
      <c r="P81" s="10" t="s">
        <v>61</v>
      </c>
      <c r="Q81" s="28" t="s">
        <v>62</v>
      </c>
    </row>
    <row r="82" spans="1:17" ht="15" customHeight="1" x14ac:dyDescent="0.25">
      <c r="A82" s="27" t="s">
        <v>136</v>
      </c>
      <c r="B82" s="11">
        <v>45735</v>
      </c>
      <c r="C82" s="10" t="s">
        <v>64</v>
      </c>
      <c r="D82" s="10" t="s">
        <v>65</v>
      </c>
      <c r="E82" s="10" t="s">
        <v>66</v>
      </c>
      <c r="F82" s="10" t="s">
        <v>67</v>
      </c>
      <c r="G82" s="10" t="s">
        <v>104</v>
      </c>
      <c r="H82" s="10" t="s">
        <v>69</v>
      </c>
      <c r="I82" s="26">
        <v>79.989999999999995</v>
      </c>
      <c r="J82" s="10">
        <v>1</v>
      </c>
      <c r="K82" s="12">
        <v>0.1</v>
      </c>
      <c r="L82" s="26">
        <f>I82*J82</f>
        <v>79.989999999999995</v>
      </c>
      <c r="M82" s="26">
        <f>L82*K82</f>
        <v>7.9989999999999997</v>
      </c>
      <c r="N82" s="26">
        <f>L82-M82</f>
        <v>71.991</v>
      </c>
      <c r="O82" s="10" t="s">
        <v>70</v>
      </c>
      <c r="P82" s="10" t="s">
        <v>105</v>
      </c>
      <c r="Q82" s="28" t="s">
        <v>84</v>
      </c>
    </row>
    <row r="83" spans="1:17" ht="15" customHeight="1" x14ac:dyDescent="0.25">
      <c r="A83" s="27" t="s">
        <v>166</v>
      </c>
      <c r="B83" s="11">
        <v>45841</v>
      </c>
      <c r="C83" s="10" t="s">
        <v>100</v>
      </c>
      <c r="D83" s="10" t="s">
        <v>101</v>
      </c>
      <c r="E83" s="10" t="s">
        <v>66</v>
      </c>
      <c r="F83" s="10" t="s">
        <v>67</v>
      </c>
      <c r="G83" s="10" t="s">
        <v>94</v>
      </c>
      <c r="H83" s="10" t="s">
        <v>59</v>
      </c>
      <c r="I83" s="26">
        <v>12.99</v>
      </c>
      <c r="J83" s="10">
        <v>5</v>
      </c>
      <c r="K83" s="12">
        <v>0</v>
      </c>
      <c r="L83" s="26">
        <f>I83*J83</f>
        <v>64.95</v>
      </c>
      <c r="M83" s="26">
        <f>L83*K83</f>
        <v>0</v>
      </c>
      <c r="N83" s="26">
        <f>L83-M83</f>
        <v>64.95</v>
      </c>
      <c r="O83" s="10" t="s">
        <v>111</v>
      </c>
      <c r="P83" s="10" t="s">
        <v>71</v>
      </c>
      <c r="Q83" s="28" t="s">
        <v>84</v>
      </c>
    </row>
    <row r="84" spans="1:17" ht="15" customHeight="1" x14ac:dyDescent="0.25">
      <c r="A84" s="27" t="s">
        <v>184</v>
      </c>
      <c r="B84" s="11">
        <v>45903</v>
      </c>
      <c r="C84" s="10" t="s">
        <v>132</v>
      </c>
      <c r="D84" s="10" t="s">
        <v>133</v>
      </c>
      <c r="E84" s="10" t="s">
        <v>56</v>
      </c>
      <c r="F84" s="10" t="s">
        <v>57</v>
      </c>
      <c r="G84" s="10" t="s">
        <v>68</v>
      </c>
      <c r="H84" s="10" t="s">
        <v>69</v>
      </c>
      <c r="I84" s="26">
        <v>69.989999999999995</v>
      </c>
      <c r="J84" s="10">
        <v>1</v>
      </c>
      <c r="K84" s="12">
        <v>0.1</v>
      </c>
      <c r="L84" s="26">
        <f>I84*J84</f>
        <v>69.989999999999995</v>
      </c>
      <c r="M84" s="26">
        <f>L84*K84</f>
        <v>6.9989999999999997</v>
      </c>
      <c r="N84" s="26">
        <f>L84-M84</f>
        <v>62.990999999999993</v>
      </c>
      <c r="O84" s="10" t="s">
        <v>70</v>
      </c>
      <c r="P84" s="10" t="s">
        <v>61</v>
      </c>
      <c r="Q84" s="28" t="s">
        <v>62</v>
      </c>
    </row>
    <row r="85" spans="1:17" ht="15" customHeight="1" x14ac:dyDescent="0.25">
      <c r="A85" s="27" t="s">
        <v>125</v>
      </c>
      <c r="B85" s="11">
        <v>45716</v>
      </c>
      <c r="C85" s="10" t="s">
        <v>97</v>
      </c>
      <c r="D85" s="10" t="s">
        <v>98</v>
      </c>
      <c r="E85" s="10" t="s">
        <v>88</v>
      </c>
      <c r="F85" s="10" t="s">
        <v>89</v>
      </c>
      <c r="G85" s="10" t="s">
        <v>94</v>
      </c>
      <c r="H85" s="10" t="s">
        <v>59</v>
      </c>
      <c r="I85" s="26">
        <v>12.99</v>
      </c>
      <c r="J85" s="10">
        <v>5</v>
      </c>
      <c r="K85" s="12">
        <v>0.1</v>
      </c>
      <c r="L85" s="26">
        <f>I85*J85</f>
        <v>64.95</v>
      </c>
      <c r="M85" s="26">
        <f>L85*K85</f>
        <v>6.495000000000001</v>
      </c>
      <c r="N85" s="26">
        <f>L85-M85</f>
        <v>58.454999999999998</v>
      </c>
      <c r="O85" s="10" t="s">
        <v>70</v>
      </c>
      <c r="P85" s="10" t="s">
        <v>61</v>
      </c>
      <c r="Q85" s="28" t="s">
        <v>84</v>
      </c>
    </row>
    <row r="86" spans="1:17" ht="15" customHeight="1" x14ac:dyDescent="0.25">
      <c r="A86" s="27" t="s">
        <v>181</v>
      </c>
      <c r="B86" s="11">
        <v>45889</v>
      </c>
      <c r="C86" s="10" t="s">
        <v>74</v>
      </c>
      <c r="D86" s="10" t="s">
        <v>75</v>
      </c>
      <c r="E86" s="10" t="s">
        <v>76</v>
      </c>
      <c r="F86" s="10" t="s">
        <v>77</v>
      </c>
      <c r="G86" s="10" t="s">
        <v>58</v>
      </c>
      <c r="H86" s="10" t="s">
        <v>59</v>
      </c>
      <c r="I86" s="26">
        <v>59.99</v>
      </c>
      <c r="J86" s="10">
        <v>1</v>
      </c>
      <c r="K86" s="12">
        <v>0.1</v>
      </c>
      <c r="L86" s="26">
        <f>I86*J86</f>
        <v>59.99</v>
      </c>
      <c r="M86" s="26">
        <f>L86*K86</f>
        <v>5.9990000000000006</v>
      </c>
      <c r="N86" s="26">
        <f>L86-M86</f>
        <v>53.991</v>
      </c>
      <c r="O86" s="10" t="s">
        <v>70</v>
      </c>
      <c r="P86" s="10" t="s">
        <v>105</v>
      </c>
      <c r="Q86" s="28" t="s">
        <v>72</v>
      </c>
    </row>
    <row r="87" spans="1:17" ht="15" customHeight="1" x14ac:dyDescent="0.25">
      <c r="A87" s="27" t="s">
        <v>200</v>
      </c>
      <c r="B87" s="11">
        <v>45963</v>
      </c>
      <c r="C87" s="10" t="s">
        <v>64</v>
      </c>
      <c r="D87" s="10" t="s">
        <v>65</v>
      </c>
      <c r="E87" s="10" t="s">
        <v>66</v>
      </c>
      <c r="F87" s="10" t="s">
        <v>67</v>
      </c>
      <c r="G87" s="10" t="s">
        <v>135</v>
      </c>
      <c r="H87" s="10" t="s">
        <v>59</v>
      </c>
      <c r="I87" s="26">
        <v>24.99</v>
      </c>
      <c r="J87" s="10">
        <v>2</v>
      </c>
      <c r="K87" s="12">
        <v>0</v>
      </c>
      <c r="L87" s="26">
        <f>I87*J87</f>
        <v>49.98</v>
      </c>
      <c r="M87" s="26">
        <f>L87*K87</f>
        <v>0</v>
      </c>
      <c r="N87" s="26">
        <f>L87-M87</f>
        <v>49.98</v>
      </c>
      <c r="O87" s="10" t="s">
        <v>83</v>
      </c>
      <c r="P87" s="10" t="s">
        <v>71</v>
      </c>
      <c r="Q87" s="28" t="s">
        <v>62</v>
      </c>
    </row>
    <row r="88" spans="1:17" ht="15" customHeight="1" x14ac:dyDescent="0.25">
      <c r="A88" s="27" t="s">
        <v>196</v>
      </c>
      <c r="B88" s="11">
        <v>45950</v>
      </c>
      <c r="C88" s="10" t="s">
        <v>100</v>
      </c>
      <c r="D88" s="10" t="s">
        <v>101</v>
      </c>
      <c r="E88" s="10" t="s">
        <v>66</v>
      </c>
      <c r="F88" s="10" t="s">
        <v>67</v>
      </c>
      <c r="G88" s="10" t="s">
        <v>94</v>
      </c>
      <c r="H88" s="10" t="s">
        <v>59</v>
      </c>
      <c r="I88" s="26">
        <v>12.99</v>
      </c>
      <c r="J88" s="10">
        <v>4</v>
      </c>
      <c r="K88" s="12">
        <v>0.05</v>
      </c>
      <c r="L88" s="26">
        <f>I88*J88</f>
        <v>51.96</v>
      </c>
      <c r="M88" s="26">
        <f>L88*K88</f>
        <v>2.5980000000000003</v>
      </c>
      <c r="N88" s="26">
        <f>L88-M88</f>
        <v>49.362000000000002</v>
      </c>
      <c r="O88" s="10" t="s">
        <v>70</v>
      </c>
      <c r="P88" s="10" t="s">
        <v>61</v>
      </c>
      <c r="Q88" s="28" t="s">
        <v>62</v>
      </c>
    </row>
    <row r="89" spans="1:17" ht="15" customHeight="1" x14ac:dyDescent="0.25">
      <c r="A89" s="27" t="s">
        <v>205</v>
      </c>
      <c r="B89" s="11">
        <v>45982</v>
      </c>
      <c r="C89" s="10" t="s">
        <v>100</v>
      </c>
      <c r="D89" s="10" t="s">
        <v>101</v>
      </c>
      <c r="E89" s="10" t="s">
        <v>66</v>
      </c>
      <c r="F89" s="10" t="s">
        <v>67</v>
      </c>
      <c r="G89" s="10" t="s">
        <v>58</v>
      </c>
      <c r="H89" s="10" t="s">
        <v>59</v>
      </c>
      <c r="I89" s="26">
        <v>59.99</v>
      </c>
      <c r="J89" s="10">
        <v>1</v>
      </c>
      <c r="K89" s="12">
        <v>0.2</v>
      </c>
      <c r="L89" s="26">
        <f>I89*J89</f>
        <v>59.99</v>
      </c>
      <c r="M89" s="26">
        <f>L89*K89</f>
        <v>11.998000000000001</v>
      </c>
      <c r="N89" s="26">
        <f>L89-M89</f>
        <v>47.992000000000004</v>
      </c>
      <c r="O89" s="10" t="s">
        <v>83</v>
      </c>
      <c r="P89" s="10" t="s">
        <v>61</v>
      </c>
      <c r="Q89" s="28" t="s">
        <v>84</v>
      </c>
    </row>
    <row r="90" spans="1:17" ht="15" customHeight="1" x14ac:dyDescent="0.25">
      <c r="A90" s="27" t="s">
        <v>160</v>
      </c>
      <c r="B90" s="11">
        <v>45814</v>
      </c>
      <c r="C90" s="10" t="s">
        <v>115</v>
      </c>
      <c r="D90" s="10" t="s">
        <v>116</v>
      </c>
      <c r="E90" s="10" t="s">
        <v>117</v>
      </c>
      <c r="F90" s="10" t="s">
        <v>118</v>
      </c>
      <c r="G90" s="10" t="s">
        <v>58</v>
      </c>
      <c r="H90" s="10" t="s">
        <v>59</v>
      </c>
      <c r="I90" s="26">
        <v>59.99</v>
      </c>
      <c r="J90" s="10">
        <v>1</v>
      </c>
      <c r="K90" s="12">
        <v>0.2</v>
      </c>
      <c r="L90" s="26">
        <f>I90*J90</f>
        <v>59.99</v>
      </c>
      <c r="M90" s="26">
        <f>L90*K90</f>
        <v>11.998000000000001</v>
      </c>
      <c r="N90" s="26">
        <f>L90-M90</f>
        <v>47.992000000000004</v>
      </c>
      <c r="O90" s="10" t="s">
        <v>83</v>
      </c>
      <c r="P90" s="10" t="s">
        <v>61</v>
      </c>
      <c r="Q90" s="28" t="s">
        <v>84</v>
      </c>
    </row>
    <row r="91" spans="1:17" ht="15" customHeight="1" x14ac:dyDescent="0.25">
      <c r="A91" s="27" t="s">
        <v>146</v>
      </c>
      <c r="B91" s="11">
        <v>45770</v>
      </c>
      <c r="C91" s="10" t="s">
        <v>64</v>
      </c>
      <c r="D91" s="10" t="s">
        <v>65</v>
      </c>
      <c r="E91" s="10" t="s">
        <v>66</v>
      </c>
      <c r="F91" s="10" t="s">
        <v>67</v>
      </c>
      <c r="G91" s="10" t="s">
        <v>102</v>
      </c>
      <c r="H91" s="10" t="s">
        <v>69</v>
      </c>
      <c r="I91" s="26">
        <v>29.99</v>
      </c>
      <c r="J91" s="10">
        <v>2</v>
      </c>
      <c r="K91" s="12">
        <v>0.2</v>
      </c>
      <c r="L91" s="26">
        <f>I91*J91</f>
        <v>59.98</v>
      </c>
      <c r="M91" s="26">
        <f>L91*K91</f>
        <v>11.996</v>
      </c>
      <c r="N91" s="26">
        <f>L91-M91</f>
        <v>47.983999999999995</v>
      </c>
      <c r="O91" s="10" t="s">
        <v>70</v>
      </c>
      <c r="P91" s="10" t="s">
        <v>71</v>
      </c>
      <c r="Q91" s="28" t="s">
        <v>72</v>
      </c>
    </row>
    <row r="92" spans="1:17" ht="15" customHeight="1" x14ac:dyDescent="0.25">
      <c r="A92" s="27" t="s">
        <v>175</v>
      </c>
      <c r="B92" s="11">
        <v>45860</v>
      </c>
      <c r="C92" s="10" t="s">
        <v>100</v>
      </c>
      <c r="D92" s="10" t="s">
        <v>101</v>
      </c>
      <c r="E92" s="10" t="s">
        <v>66</v>
      </c>
      <c r="F92" s="10" t="s">
        <v>67</v>
      </c>
      <c r="G92" s="10" t="s">
        <v>94</v>
      </c>
      <c r="H92" s="10" t="s">
        <v>59</v>
      </c>
      <c r="I92" s="26">
        <v>12.99</v>
      </c>
      <c r="J92" s="10">
        <v>4</v>
      </c>
      <c r="K92" s="12">
        <v>0.1</v>
      </c>
      <c r="L92" s="26">
        <f>I92*J92</f>
        <v>51.96</v>
      </c>
      <c r="M92" s="26">
        <f>L92*K92</f>
        <v>5.1960000000000006</v>
      </c>
      <c r="N92" s="26">
        <f>L92-M92</f>
        <v>46.764000000000003</v>
      </c>
      <c r="O92" s="10" t="s">
        <v>70</v>
      </c>
      <c r="P92" s="10" t="s">
        <v>71</v>
      </c>
      <c r="Q92" s="28" t="s">
        <v>72</v>
      </c>
    </row>
    <row r="93" spans="1:17" ht="15" customHeight="1" x14ac:dyDescent="0.25">
      <c r="A93" s="27" t="s">
        <v>128</v>
      </c>
      <c r="B93" s="11">
        <v>45724</v>
      </c>
      <c r="C93" s="10" t="s">
        <v>54</v>
      </c>
      <c r="D93" s="10" t="s">
        <v>55</v>
      </c>
      <c r="E93" s="10" t="s">
        <v>56</v>
      </c>
      <c r="F93" s="10" t="s">
        <v>57</v>
      </c>
      <c r="G93" s="10" t="s">
        <v>129</v>
      </c>
      <c r="H93" s="10" t="s">
        <v>69</v>
      </c>
      <c r="I93" s="26">
        <v>49.99</v>
      </c>
      <c r="J93" s="10">
        <v>1</v>
      </c>
      <c r="K93" s="12">
        <v>0.1</v>
      </c>
      <c r="L93" s="26">
        <f>I93*J93</f>
        <v>49.99</v>
      </c>
      <c r="M93" s="26">
        <f>L93*K93</f>
        <v>4.9990000000000006</v>
      </c>
      <c r="N93" s="26">
        <f>L93-M93</f>
        <v>44.991</v>
      </c>
      <c r="O93" s="10" t="s">
        <v>70</v>
      </c>
      <c r="P93" s="10" t="s">
        <v>79</v>
      </c>
      <c r="Q93" s="28" t="s">
        <v>84</v>
      </c>
    </row>
    <row r="94" spans="1:17" ht="15" customHeight="1" x14ac:dyDescent="0.25">
      <c r="A94" s="27" t="s">
        <v>169</v>
      </c>
      <c r="B94" s="11">
        <v>45846</v>
      </c>
      <c r="C94" s="10" t="s">
        <v>107</v>
      </c>
      <c r="D94" s="10" t="s">
        <v>108</v>
      </c>
      <c r="E94" s="10" t="s">
        <v>76</v>
      </c>
      <c r="F94" s="10" t="s">
        <v>77</v>
      </c>
      <c r="G94" s="10" t="s">
        <v>129</v>
      </c>
      <c r="H94" s="10" t="s">
        <v>69</v>
      </c>
      <c r="I94" s="26">
        <v>49.99</v>
      </c>
      <c r="J94" s="10">
        <v>1</v>
      </c>
      <c r="K94" s="12">
        <v>0.2</v>
      </c>
      <c r="L94" s="26">
        <f>I94*J94</f>
        <v>49.99</v>
      </c>
      <c r="M94" s="26">
        <f>L94*K94</f>
        <v>9.9980000000000011</v>
      </c>
      <c r="N94" s="26">
        <f>L94-M94</f>
        <v>39.992000000000004</v>
      </c>
      <c r="O94" s="10" t="s">
        <v>83</v>
      </c>
      <c r="P94" s="10" t="s">
        <v>71</v>
      </c>
      <c r="Q94" s="28" t="s">
        <v>62</v>
      </c>
    </row>
    <row r="95" spans="1:17" ht="15" customHeight="1" x14ac:dyDescent="0.25">
      <c r="A95" s="27" t="s">
        <v>188</v>
      </c>
      <c r="B95" s="11">
        <v>45910</v>
      </c>
      <c r="C95" s="10" t="s">
        <v>81</v>
      </c>
      <c r="D95" s="10" t="s">
        <v>82</v>
      </c>
      <c r="E95" s="10" t="s">
        <v>76</v>
      </c>
      <c r="F95" s="10" t="s">
        <v>77</v>
      </c>
      <c r="G95" s="10" t="s">
        <v>94</v>
      </c>
      <c r="H95" s="10" t="s">
        <v>59</v>
      </c>
      <c r="I95" s="26">
        <v>12.99</v>
      </c>
      <c r="J95" s="10">
        <v>3</v>
      </c>
      <c r="K95" s="12">
        <v>0.05</v>
      </c>
      <c r="L95" s="26">
        <f>I95*J95</f>
        <v>38.97</v>
      </c>
      <c r="M95" s="26">
        <f>L95*K95</f>
        <v>1.9485000000000001</v>
      </c>
      <c r="N95" s="26">
        <f>L95-M95</f>
        <v>37.021499999999996</v>
      </c>
      <c r="O95" s="10" t="s">
        <v>111</v>
      </c>
      <c r="P95" s="10" t="s">
        <v>105</v>
      </c>
      <c r="Q95" s="28" t="s">
        <v>62</v>
      </c>
    </row>
    <row r="96" spans="1:17" ht="15" customHeight="1" x14ac:dyDescent="0.25">
      <c r="A96" s="27" t="s">
        <v>199</v>
      </c>
      <c r="B96" s="11">
        <v>45957</v>
      </c>
      <c r="C96" s="10" t="s">
        <v>92</v>
      </c>
      <c r="D96" s="10" t="s">
        <v>93</v>
      </c>
      <c r="E96" s="10" t="s">
        <v>66</v>
      </c>
      <c r="F96" s="10" t="s">
        <v>67</v>
      </c>
      <c r="G96" s="10" t="s">
        <v>121</v>
      </c>
      <c r="H96" s="10" t="s">
        <v>59</v>
      </c>
      <c r="I96" s="26">
        <v>8.99</v>
      </c>
      <c r="J96" s="10">
        <v>4</v>
      </c>
      <c r="K96" s="12">
        <v>0.2</v>
      </c>
      <c r="L96" s="26">
        <f>I96*J96</f>
        <v>35.96</v>
      </c>
      <c r="M96" s="26">
        <f>L96*K96</f>
        <v>7.1920000000000002</v>
      </c>
      <c r="N96" s="26">
        <f>L96-M96</f>
        <v>28.768000000000001</v>
      </c>
      <c r="O96" s="10" t="s">
        <v>60</v>
      </c>
      <c r="P96" s="10" t="s">
        <v>79</v>
      </c>
      <c r="Q96" s="28" t="s">
        <v>72</v>
      </c>
    </row>
    <row r="97" spans="1:17" ht="15" customHeight="1" x14ac:dyDescent="0.25">
      <c r="A97" s="27" t="s">
        <v>140</v>
      </c>
      <c r="B97" s="11">
        <v>45742</v>
      </c>
      <c r="C97" s="10" t="s">
        <v>74</v>
      </c>
      <c r="D97" s="10" t="s">
        <v>75</v>
      </c>
      <c r="E97" s="10" t="s">
        <v>76</v>
      </c>
      <c r="F97" s="10" t="s">
        <v>77</v>
      </c>
      <c r="G97" s="10" t="s">
        <v>121</v>
      </c>
      <c r="H97" s="10" t="s">
        <v>59</v>
      </c>
      <c r="I97" s="26">
        <v>8.99</v>
      </c>
      <c r="J97" s="10">
        <v>4</v>
      </c>
      <c r="K97" s="12">
        <v>0.2</v>
      </c>
      <c r="L97" s="26">
        <f>I97*J97</f>
        <v>35.96</v>
      </c>
      <c r="M97" s="26">
        <f>L97*K97</f>
        <v>7.1920000000000002</v>
      </c>
      <c r="N97" s="26">
        <f>L97-M97</f>
        <v>28.768000000000001</v>
      </c>
      <c r="O97" s="10" t="s">
        <v>70</v>
      </c>
      <c r="P97" s="10" t="s">
        <v>79</v>
      </c>
      <c r="Q97" s="28" t="s">
        <v>72</v>
      </c>
    </row>
    <row r="98" spans="1:17" ht="15" customHeight="1" x14ac:dyDescent="0.25">
      <c r="A98" s="27" t="s">
        <v>123</v>
      </c>
      <c r="B98" s="11">
        <v>45711</v>
      </c>
      <c r="C98" s="10" t="s">
        <v>64</v>
      </c>
      <c r="D98" s="10" t="s">
        <v>65</v>
      </c>
      <c r="E98" s="10" t="s">
        <v>66</v>
      </c>
      <c r="F98" s="10" t="s">
        <v>67</v>
      </c>
      <c r="G98" s="10" t="s">
        <v>94</v>
      </c>
      <c r="H98" s="10" t="s">
        <v>59</v>
      </c>
      <c r="I98" s="26">
        <v>12.99</v>
      </c>
      <c r="J98" s="10">
        <v>2</v>
      </c>
      <c r="K98" s="12">
        <v>0</v>
      </c>
      <c r="L98" s="26">
        <f>I98*J98</f>
        <v>25.98</v>
      </c>
      <c r="M98" s="26">
        <f>L98*K98</f>
        <v>0</v>
      </c>
      <c r="N98" s="26">
        <f>L98-M98</f>
        <v>25.98</v>
      </c>
      <c r="O98" s="10" t="s">
        <v>70</v>
      </c>
      <c r="P98" s="10" t="s">
        <v>105</v>
      </c>
      <c r="Q98" s="28" t="s">
        <v>62</v>
      </c>
    </row>
    <row r="99" spans="1:17" ht="15" customHeight="1" x14ac:dyDescent="0.25">
      <c r="A99" s="27" t="s">
        <v>134</v>
      </c>
      <c r="B99" s="11">
        <v>45734</v>
      </c>
      <c r="C99" s="10" t="s">
        <v>92</v>
      </c>
      <c r="D99" s="10" t="s">
        <v>93</v>
      </c>
      <c r="E99" s="10" t="s">
        <v>66</v>
      </c>
      <c r="F99" s="10" t="s">
        <v>67</v>
      </c>
      <c r="G99" s="10" t="s">
        <v>135</v>
      </c>
      <c r="H99" s="10" t="s">
        <v>59</v>
      </c>
      <c r="I99" s="26">
        <v>24.99</v>
      </c>
      <c r="J99" s="10">
        <v>1</v>
      </c>
      <c r="K99" s="12">
        <v>0.1</v>
      </c>
      <c r="L99" s="26">
        <f>I99*J99</f>
        <v>24.99</v>
      </c>
      <c r="M99" s="26">
        <f>L99*K99</f>
        <v>2.4990000000000001</v>
      </c>
      <c r="N99" s="26">
        <f>L99-M99</f>
        <v>22.491</v>
      </c>
      <c r="O99" s="10" t="s">
        <v>70</v>
      </c>
      <c r="P99" s="10" t="s">
        <v>79</v>
      </c>
      <c r="Q99" s="28" t="s">
        <v>62</v>
      </c>
    </row>
    <row r="100" spans="1:17" ht="15" customHeight="1" x14ac:dyDescent="0.25">
      <c r="A100" s="27" t="s">
        <v>120</v>
      </c>
      <c r="B100" s="11">
        <v>45707</v>
      </c>
      <c r="C100" s="10" t="s">
        <v>107</v>
      </c>
      <c r="D100" s="10" t="s">
        <v>108</v>
      </c>
      <c r="E100" s="10" t="s">
        <v>76</v>
      </c>
      <c r="F100" s="10" t="s">
        <v>77</v>
      </c>
      <c r="G100" s="10" t="s">
        <v>121</v>
      </c>
      <c r="H100" s="10" t="s">
        <v>59</v>
      </c>
      <c r="I100" s="26">
        <v>8.99</v>
      </c>
      <c r="J100" s="10">
        <v>2</v>
      </c>
      <c r="K100" s="12">
        <v>0</v>
      </c>
      <c r="L100" s="26">
        <f>I100*J100</f>
        <v>17.98</v>
      </c>
      <c r="M100" s="26">
        <f>L100*K100</f>
        <v>0</v>
      </c>
      <c r="N100" s="26">
        <f>L100-M100</f>
        <v>17.98</v>
      </c>
      <c r="O100" s="10" t="s">
        <v>111</v>
      </c>
      <c r="P100" s="10" t="s">
        <v>105</v>
      </c>
      <c r="Q100" s="28" t="s">
        <v>62</v>
      </c>
    </row>
    <row r="101" spans="1:17" ht="15" customHeight="1" x14ac:dyDescent="0.25">
      <c r="A101" s="27" t="s">
        <v>158</v>
      </c>
      <c r="B101" s="11">
        <v>45802</v>
      </c>
      <c r="C101" s="10" t="s">
        <v>100</v>
      </c>
      <c r="D101" s="10" t="s">
        <v>101</v>
      </c>
      <c r="E101" s="10" t="s">
        <v>66</v>
      </c>
      <c r="F101" s="10" t="s">
        <v>67</v>
      </c>
      <c r="G101" s="10" t="s">
        <v>94</v>
      </c>
      <c r="H101" s="10" t="s">
        <v>59</v>
      </c>
      <c r="I101" s="26">
        <v>12.99</v>
      </c>
      <c r="J101" s="10">
        <v>1</v>
      </c>
      <c r="K101" s="12">
        <v>0</v>
      </c>
      <c r="L101" s="26">
        <f>I101*J101</f>
        <v>12.99</v>
      </c>
      <c r="M101" s="26">
        <f>L101*K101</f>
        <v>0</v>
      </c>
      <c r="N101" s="26">
        <f>L101-M101</f>
        <v>12.99</v>
      </c>
      <c r="O101" s="10" t="s">
        <v>70</v>
      </c>
      <c r="P101" s="10" t="s">
        <v>61</v>
      </c>
      <c r="Q101" s="28" t="s">
        <v>62</v>
      </c>
    </row>
    <row r="102" spans="1:17" ht="15" customHeight="1" x14ac:dyDescent="0.25">
      <c r="A102" s="27" t="s">
        <v>91</v>
      </c>
      <c r="B102" s="11">
        <v>45690</v>
      </c>
      <c r="C102" s="10" t="s">
        <v>92</v>
      </c>
      <c r="D102" s="10" t="s">
        <v>93</v>
      </c>
      <c r="E102" s="10" t="s">
        <v>66</v>
      </c>
      <c r="F102" s="10" t="s">
        <v>67</v>
      </c>
      <c r="G102" s="10" t="s">
        <v>94</v>
      </c>
      <c r="H102" s="10" t="s">
        <v>59</v>
      </c>
      <c r="I102" s="26">
        <v>12.99</v>
      </c>
      <c r="J102" s="10">
        <v>1</v>
      </c>
      <c r="K102" s="12">
        <v>0</v>
      </c>
      <c r="L102" s="26">
        <f>I102*J102</f>
        <v>12.99</v>
      </c>
      <c r="M102" s="26">
        <f>L102*K102</f>
        <v>0</v>
      </c>
      <c r="N102" s="26">
        <f>L102-M102</f>
        <v>12.99</v>
      </c>
      <c r="O102" s="10" t="s">
        <v>83</v>
      </c>
      <c r="P102" s="10" t="s">
        <v>61</v>
      </c>
      <c r="Q102" s="28" t="s">
        <v>72</v>
      </c>
    </row>
    <row r="103" spans="1:17" ht="15" customHeight="1" x14ac:dyDescent="0.25">
      <c r="A103" s="32" t="s">
        <v>208</v>
      </c>
      <c r="B103" s="33">
        <v>45996</v>
      </c>
      <c r="C103" s="34" t="s">
        <v>148</v>
      </c>
      <c r="D103" s="34" t="s">
        <v>149</v>
      </c>
      <c r="E103" s="34" t="s">
        <v>117</v>
      </c>
      <c r="F103" s="34" t="s">
        <v>118</v>
      </c>
      <c r="G103" s="34" t="s">
        <v>121</v>
      </c>
      <c r="H103" s="34" t="s">
        <v>59</v>
      </c>
      <c r="I103" s="35">
        <v>8.99</v>
      </c>
      <c r="J103" s="34">
        <v>1</v>
      </c>
      <c r="K103" s="36">
        <v>0.05</v>
      </c>
      <c r="L103" s="35">
        <f>I103*J103</f>
        <v>8.99</v>
      </c>
      <c r="M103" s="35">
        <f>L103*K103</f>
        <v>0.44950000000000001</v>
      </c>
      <c r="N103" s="35">
        <f>L103-M103</f>
        <v>8.5404999999999998</v>
      </c>
      <c r="O103" s="34" t="s">
        <v>70</v>
      </c>
      <c r="P103" s="34" t="s">
        <v>105</v>
      </c>
      <c r="Q103" s="37" t="s">
        <v>62</v>
      </c>
    </row>
    <row r="104" spans="1:17" ht="15" customHeight="1" x14ac:dyDescent="0.25">
      <c r="A104" s="32" t="s">
        <v>202</v>
      </c>
      <c r="B104" s="33">
        <v>45970</v>
      </c>
      <c r="C104" s="34" t="s">
        <v>107</v>
      </c>
      <c r="D104" s="34" t="s">
        <v>108</v>
      </c>
      <c r="E104" s="34" t="s">
        <v>76</v>
      </c>
      <c r="F104" s="34" t="s">
        <v>77</v>
      </c>
      <c r="G104" s="34" t="s">
        <v>121</v>
      </c>
      <c r="H104" s="34" t="s">
        <v>59</v>
      </c>
      <c r="I104" s="35">
        <v>8.99</v>
      </c>
      <c r="J104" s="34">
        <v>1</v>
      </c>
      <c r="K104" s="36">
        <v>0.1</v>
      </c>
      <c r="L104" s="35">
        <f>I104*J104</f>
        <v>8.99</v>
      </c>
      <c r="M104" s="35">
        <f>L104*K104</f>
        <v>0.89900000000000002</v>
      </c>
      <c r="N104" s="35">
        <f>L104-M104</f>
        <v>8.0910000000000011</v>
      </c>
      <c r="O104" s="34" t="s">
        <v>111</v>
      </c>
      <c r="P104" s="34" t="s">
        <v>61</v>
      </c>
      <c r="Q104" s="37" t="s">
        <v>62</v>
      </c>
    </row>
    <row r="105" spans="1:17" ht="15" customHeight="1" x14ac:dyDescent="0.25">
      <c r="A105" s="32" t="s">
        <v>215</v>
      </c>
      <c r="B105" s="33">
        <v>46019</v>
      </c>
      <c r="C105" s="34" t="s">
        <v>54</v>
      </c>
      <c r="D105" s="34" t="s">
        <v>55</v>
      </c>
      <c r="E105" s="34" t="s">
        <v>56</v>
      </c>
      <c r="F105" s="34" t="s">
        <v>57</v>
      </c>
      <c r="G105" s="34" t="s">
        <v>139</v>
      </c>
      <c r="H105" s="34" t="s">
        <v>110</v>
      </c>
      <c r="I105" s="35">
        <v>39.99</v>
      </c>
      <c r="J105" s="34">
        <v>3</v>
      </c>
      <c r="K105" s="36">
        <v>0.2</v>
      </c>
      <c r="L105" s="35">
        <f>I105*J105</f>
        <v>119.97</v>
      </c>
      <c r="M105" s="35">
        <f>L105*K105</f>
        <v>23.994</v>
      </c>
      <c r="N105" s="35"/>
      <c r="O105" s="34" t="s">
        <v>70</v>
      </c>
      <c r="P105" s="34" t="s">
        <v>105</v>
      </c>
      <c r="Q105" s="37" t="s">
        <v>62</v>
      </c>
    </row>
    <row r="106" spans="1:17" x14ac:dyDescent="0.25">
      <c r="A106" s="32" t="s">
        <v>504</v>
      </c>
      <c r="B106" s="34"/>
      <c r="C106" s="34"/>
      <c r="D106" s="34"/>
      <c r="E106" s="34"/>
      <c r="F106" s="34"/>
      <c r="G106" s="34"/>
      <c r="H106" s="34"/>
      <c r="I106" s="40">
        <f>SUBTOTAL(101,Table2[Unit Price ($)])</f>
        <v>215.37235294117747</v>
      </c>
      <c r="J106" s="34">
        <f>SUBTOTAL(109,Table2[Quantity])</f>
        <v>318</v>
      </c>
      <c r="K106" s="34"/>
      <c r="L106" s="39"/>
      <c r="M106" s="39"/>
      <c r="N106" s="39"/>
      <c r="O106" s="34"/>
      <c r="P106" s="34"/>
      <c r="Q106" s="37">
        <f>SUBTOTAL(103,Table2[Payment Method])</f>
        <v>102</v>
      </c>
    </row>
  </sheetData>
  <mergeCells count="1">
    <mergeCell ref="T4:W4"/>
  </mergeCells>
  <pageMargins left="0.75" right="0.75" top="1" bottom="1" header="0.511811023622047" footer="0.511811023622047"/>
  <pageSetup paperSize="9"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B31E-CE34-47E9-929F-DA1B75CB4406}">
  <dimension ref="A1:L18"/>
  <sheetViews>
    <sheetView workbookViewId="0">
      <selection activeCell="C2" sqref="C2"/>
    </sheetView>
  </sheetViews>
  <sheetFormatPr defaultRowHeight="15" x14ac:dyDescent="0.25"/>
  <cols>
    <col min="1" max="1" width="17.28515625" customWidth="1"/>
    <col min="2" max="2" width="14.85546875" bestFit="1" customWidth="1"/>
    <col min="3" max="3" width="21.5703125" customWidth="1"/>
    <col min="8" max="8" width="24.42578125" bestFit="1" customWidth="1"/>
    <col min="11" max="11" width="14.85546875" bestFit="1" customWidth="1"/>
    <col min="12" max="12" width="12.42578125" bestFit="1" customWidth="1"/>
  </cols>
  <sheetData>
    <row r="1" spans="1:12" ht="15.75" x14ac:dyDescent="0.25">
      <c r="A1" s="9" t="s">
        <v>43</v>
      </c>
      <c r="B1" s="9" t="s">
        <v>42</v>
      </c>
      <c r="C1" t="s">
        <v>222</v>
      </c>
      <c r="D1" t="s">
        <v>487</v>
      </c>
      <c r="E1" t="s">
        <v>506</v>
      </c>
      <c r="F1" t="s">
        <v>507</v>
      </c>
      <c r="G1" t="s">
        <v>508</v>
      </c>
      <c r="H1" t="s">
        <v>510</v>
      </c>
      <c r="K1" s="46" t="s">
        <v>518</v>
      </c>
      <c r="L1" t="s">
        <v>519</v>
      </c>
    </row>
    <row r="2" spans="1:12" x14ac:dyDescent="0.25">
      <c r="A2" t="s">
        <v>69</v>
      </c>
      <c r="B2" t="s">
        <v>68</v>
      </c>
      <c r="C2">
        <f>SUMIFS(Table2[Final Amount ($)],Table2[Category],Sheet1!A2,Table2[Product],Sheet1!B2)</f>
        <v>542.4224999999999</v>
      </c>
      <c r="F2">
        <f>COUNTIF(Table2[Category],Sheet1!A2)</f>
        <v>46</v>
      </c>
      <c r="G2">
        <f>COUNTIFS(Table2[Category],Sheet1!A2,Table2[Product],Sheet1!B2)</f>
        <v>3</v>
      </c>
      <c r="H2">
        <f>VLOOKUP(B2,'Sales Data'!G:N,8,0)</f>
        <v>279.95999999999998</v>
      </c>
      <c r="K2" s="47" t="s">
        <v>113</v>
      </c>
      <c r="L2" s="38">
        <v>26639.704000000002</v>
      </c>
    </row>
    <row r="3" spans="1:12" x14ac:dyDescent="0.25">
      <c r="A3" t="s">
        <v>69</v>
      </c>
      <c r="B3" t="s">
        <v>78</v>
      </c>
      <c r="C3">
        <f>SUMIFS(Table2[Final Amount ($)],Table2[Category],Sheet1!A3,Table2[Product],Sheet1!B3)</f>
        <v>13019.627999999997</v>
      </c>
      <c r="F3">
        <f>COUNTIF(Table2[Category],Sheet1!A3)</f>
        <v>46</v>
      </c>
      <c r="G3">
        <f>COUNTIFS(Table2[Category],Sheet1!A3,Table2[Product],Sheet1!B3)</f>
        <v>10</v>
      </c>
      <c r="K3" s="47" t="s">
        <v>78</v>
      </c>
      <c r="L3" s="38">
        <v>13019.628000000001</v>
      </c>
    </row>
    <row r="4" spans="1:12" x14ac:dyDescent="0.25">
      <c r="A4" t="s">
        <v>69</v>
      </c>
      <c r="B4" t="s">
        <v>90</v>
      </c>
      <c r="C4">
        <f>SUMIFS(Table2[Final Amount ($)],Table2[Category],Sheet1!A4,Table2[Product],Sheet1!B4)</f>
        <v>2833.7820000000006</v>
      </c>
      <c r="F4">
        <f>COUNTIF(Table2[Category],Sheet1!A4)</f>
        <v>46</v>
      </c>
      <c r="G4">
        <f>COUNTIFS(Table2[Category],Sheet1!A4,Table2[Product],Sheet1!B4)</f>
        <v>10</v>
      </c>
      <c r="K4" s="47" t="s">
        <v>142</v>
      </c>
      <c r="L4" s="38">
        <v>9359.6879999999983</v>
      </c>
    </row>
    <row r="5" spans="1:12" x14ac:dyDescent="0.25">
      <c r="A5" t="s">
        <v>69</v>
      </c>
      <c r="B5" t="s">
        <v>102</v>
      </c>
      <c r="C5">
        <f>SUMIFS(Table2[Final Amount ($)],Table2[Category],Sheet1!A5,Table2[Product],Sheet1!B5)</f>
        <v>278.90699999999998</v>
      </c>
      <c r="F5">
        <f>COUNTIF(Table2[Category],Sheet1!A5)</f>
        <v>46</v>
      </c>
      <c r="G5">
        <f>COUNTIFS(Table2[Category],Sheet1!A5,Table2[Product],Sheet1!B5)</f>
        <v>3</v>
      </c>
      <c r="K5" s="47" t="s">
        <v>109</v>
      </c>
      <c r="L5" s="38">
        <v>8799.8240000000005</v>
      </c>
    </row>
    <row r="6" spans="1:12" x14ac:dyDescent="0.25">
      <c r="A6" t="s">
        <v>69</v>
      </c>
      <c r="B6" t="s">
        <v>104</v>
      </c>
      <c r="C6">
        <f>SUMIFS(Table2[Final Amount ($)],Table2[Category],Sheet1!A6,Table2[Product],Sheet1!B6)</f>
        <v>1219.8474999999999</v>
      </c>
      <c r="F6">
        <f>COUNTIF(Table2[Category],Sheet1!A6)</f>
        <v>46</v>
      </c>
      <c r="G6">
        <f>COUNTIFS(Table2[Category],Sheet1!A6,Table2[Product],Sheet1!B6)</f>
        <v>6</v>
      </c>
      <c r="K6" s="47" t="s">
        <v>163</v>
      </c>
      <c r="L6" s="38">
        <v>3217.2855</v>
      </c>
    </row>
    <row r="7" spans="1:12" x14ac:dyDescent="0.25">
      <c r="A7" t="s">
        <v>69</v>
      </c>
      <c r="B7" t="s">
        <v>113</v>
      </c>
      <c r="C7">
        <f>SUMIFS(Table2[Final Amount ($)],Table2[Category],Sheet1!A7,Table2[Product],Sheet1!B7)</f>
        <v>26639.703999999998</v>
      </c>
      <c r="F7">
        <f>COUNTIF(Table2[Category],Sheet1!A7)</f>
        <v>46</v>
      </c>
      <c r="G7">
        <f>COUNTIFS(Table2[Category],Sheet1!A7,Table2[Product],Sheet1!B7)</f>
        <v>8</v>
      </c>
      <c r="K7" s="47" t="s">
        <v>90</v>
      </c>
      <c r="L7" s="38">
        <v>2833.7820000000002</v>
      </c>
    </row>
    <row r="8" spans="1:12" x14ac:dyDescent="0.25">
      <c r="A8" t="s">
        <v>69</v>
      </c>
      <c r="B8" t="s">
        <v>129</v>
      </c>
      <c r="C8">
        <f>SUMIFS(Table2[Final Amount ($)],Table2[Category],Sheet1!A8,Table2[Product],Sheet1!B8)</f>
        <v>707.35849999999994</v>
      </c>
      <c r="F8">
        <f>COUNTIF(Table2[Category],Sheet1!A8)</f>
        <v>46</v>
      </c>
      <c r="G8">
        <f>COUNTIFS(Table2[Category],Sheet1!A8,Table2[Product],Sheet1!B8)</f>
        <v>6</v>
      </c>
      <c r="K8" s="47" t="s">
        <v>104</v>
      </c>
      <c r="L8" s="38">
        <v>1219.8474999999999</v>
      </c>
    </row>
    <row r="9" spans="1:12" x14ac:dyDescent="0.25">
      <c r="A9" t="s">
        <v>110</v>
      </c>
      <c r="B9" t="s">
        <v>109</v>
      </c>
      <c r="C9">
        <f>SUMIFS(Table2[Final Amount ($)],Table2[Category],Sheet1!A9,Table2[Product],Sheet1!B9)</f>
        <v>8799.8240000000005</v>
      </c>
      <c r="F9">
        <f>COUNTIF(Table2[Category],Sheet1!A9)</f>
        <v>32</v>
      </c>
      <c r="G9">
        <f>COUNTIFS(Table2[Category],Sheet1!A9,Table2[Product],Sheet1!B9)</f>
        <v>8</v>
      </c>
      <c r="K9" s="47" t="s">
        <v>58</v>
      </c>
      <c r="L9" s="38">
        <v>1031.828</v>
      </c>
    </row>
    <row r="10" spans="1:12" x14ac:dyDescent="0.25">
      <c r="K10" s="47" t="s">
        <v>139</v>
      </c>
      <c r="L10" s="38">
        <v>871.78199999999993</v>
      </c>
    </row>
    <row r="11" spans="1:12" x14ac:dyDescent="0.25">
      <c r="A11" t="s">
        <v>110</v>
      </c>
      <c r="B11" t="s">
        <v>139</v>
      </c>
      <c r="C11">
        <f>SUMIFS(Table2[Final Amount ($)],Table2[Category],Sheet1!A11,Table2[Product],Sheet1!B11)</f>
        <v>871.78200000000004</v>
      </c>
      <c r="F11">
        <f>COUNTIF(Table2[Category],Sheet1!A11)</f>
        <v>32</v>
      </c>
      <c r="G11">
        <f>COUNTIFS(Table2[Category],Sheet1!A11,Table2[Product],Sheet1!B11)</f>
        <v>8</v>
      </c>
      <c r="K11" s="47" t="s">
        <v>129</v>
      </c>
      <c r="L11" s="38">
        <v>707.35850000000005</v>
      </c>
    </row>
    <row r="12" spans="1:12" x14ac:dyDescent="0.25">
      <c r="A12" t="s">
        <v>110</v>
      </c>
      <c r="B12" t="s">
        <v>142</v>
      </c>
      <c r="C12">
        <f>SUMIFS(Table2[Final Amount ($)],Table2[Category],Sheet1!A12,Table2[Product],Sheet1!B12)</f>
        <v>9359.6879999999983</v>
      </c>
      <c r="F12">
        <f>COUNTIF(Table2[Category],Sheet1!A12)</f>
        <v>32</v>
      </c>
      <c r="G12">
        <f>COUNTIFS(Table2[Category],Sheet1!A12,Table2[Product],Sheet1!B12)</f>
        <v>10</v>
      </c>
      <c r="K12" s="47" t="s">
        <v>68</v>
      </c>
      <c r="L12" s="38">
        <v>542.4224999999999</v>
      </c>
    </row>
    <row r="13" spans="1:12" x14ac:dyDescent="0.25">
      <c r="A13" t="s">
        <v>110</v>
      </c>
      <c r="B13" t="s">
        <v>163</v>
      </c>
      <c r="C13">
        <f>SUMIFS(Table2[Final Amount ($)],Table2[Category],Sheet1!A13,Table2[Product],Sheet1!B13)</f>
        <v>3217.2855</v>
      </c>
      <c r="F13">
        <f>COUNTIF(Table2[Category],Sheet1!A13)</f>
        <v>32</v>
      </c>
      <c r="G13">
        <f>COUNTIFS(Table2[Category],Sheet1!A13,Table2[Product],Sheet1!B13)</f>
        <v>6</v>
      </c>
      <c r="K13" s="47" t="s">
        <v>94</v>
      </c>
      <c r="L13" s="38">
        <v>308.51250000000005</v>
      </c>
    </row>
    <row r="14" spans="1:12" x14ac:dyDescent="0.25">
      <c r="A14" t="s">
        <v>59</v>
      </c>
      <c r="B14" t="s">
        <v>94</v>
      </c>
      <c r="C14">
        <f>SUMIFS(Table2[Final Amount ($)],Table2[Category],Sheet1!A14,Table2[Product],Sheet1!B14)</f>
        <v>308.51250000000005</v>
      </c>
      <c r="F14">
        <f>COUNTIF(Table2[Category],Sheet1!A14)</f>
        <v>24</v>
      </c>
      <c r="G14">
        <f>COUNTIFS(Table2[Category],Sheet1!A14,Table2[Product],Sheet1!B14)</f>
        <v>8</v>
      </c>
      <c r="K14" s="47" t="s">
        <v>135</v>
      </c>
      <c r="L14" s="38">
        <v>303.62849999999992</v>
      </c>
    </row>
    <row r="15" spans="1:12" x14ac:dyDescent="0.25">
      <c r="A15" t="s">
        <v>59</v>
      </c>
      <c r="B15" t="s">
        <v>58</v>
      </c>
      <c r="C15">
        <f>SUMIFS(Table2[Final Amount ($)],Table2[Category],Sheet1!A15,Table2[Product],Sheet1!B15)</f>
        <v>1031.828</v>
      </c>
      <c r="F15">
        <f>COUNTIF(Table2[Category],Sheet1!A15)</f>
        <v>24</v>
      </c>
      <c r="G15">
        <f>COUNTIFS(Table2[Category],Sheet1!A15,Table2[Product],Sheet1!B15)</f>
        <v>7</v>
      </c>
      <c r="K15" s="47" t="s">
        <v>102</v>
      </c>
      <c r="L15" s="38">
        <v>278.90699999999998</v>
      </c>
    </row>
    <row r="16" spans="1:12" x14ac:dyDescent="0.25">
      <c r="A16" t="s">
        <v>59</v>
      </c>
      <c r="B16" t="s">
        <v>135</v>
      </c>
      <c r="C16">
        <f>SUMIFS(Table2[Final Amount ($)],Table2[Category],Sheet1!A16,Table2[Product],Sheet1!B16)</f>
        <v>303.62849999999997</v>
      </c>
      <c r="F16">
        <f>COUNTIF(Table2[Category],Sheet1!A16)</f>
        <v>24</v>
      </c>
      <c r="G16">
        <f>COUNTIFS(Table2[Category],Sheet1!A16,Table2[Product],Sheet1!B16)</f>
        <v>4</v>
      </c>
      <c r="K16" s="47" t="s">
        <v>121</v>
      </c>
      <c r="L16" s="38">
        <v>92.147500000000008</v>
      </c>
    </row>
    <row r="17" spans="1:12" x14ac:dyDescent="0.25">
      <c r="A17" t="s">
        <v>59</v>
      </c>
      <c r="B17" t="s">
        <v>121</v>
      </c>
      <c r="C17">
        <f>SUMIFS(Table2[Final Amount ($)],Table2[Category],Sheet1!A17,Table2[Product],Sheet1!B17)</f>
        <v>92.147500000000008</v>
      </c>
      <c r="F17">
        <f>COUNTIF(Table2[Category],Sheet1!A17)</f>
        <v>24</v>
      </c>
      <c r="G17">
        <f>COUNTIFS(Table2[Category],Sheet1!A17,Table2[Product],Sheet1!B17)</f>
        <v>5</v>
      </c>
      <c r="K17" s="47" t="s">
        <v>516</v>
      </c>
      <c r="L17" s="38">
        <v>69226.345499999996</v>
      </c>
    </row>
    <row r="18" spans="1:12" x14ac:dyDescent="0.25">
      <c r="D18">
        <f>COUNT(Table2[Quantity])</f>
        <v>102</v>
      </c>
      <c r="E18">
        <f>COUNTA(Table2[Category])</f>
        <v>102</v>
      </c>
    </row>
  </sheetData>
  <autoFilter ref="A1:B18" xr:uid="{8B90B31E-CE34-47E9-929F-DA1B75CB4406}">
    <sortState xmlns:xlrd2="http://schemas.microsoft.com/office/spreadsheetml/2017/richdata2" ref="A2:B17">
      <sortCondition ref="A1:A17"/>
    </sortState>
  </autoFilter>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00"/>
  </sheetPr>
  <dimension ref="A1:H25"/>
  <sheetViews>
    <sheetView zoomScaleNormal="100" workbookViewId="0">
      <selection activeCell="E31" sqref="E31"/>
    </sheetView>
  </sheetViews>
  <sheetFormatPr defaultColWidth="8.7109375" defaultRowHeight="15" x14ac:dyDescent="0.25"/>
  <cols>
    <col min="1" max="3" width="16" customWidth="1"/>
    <col min="4" max="4" width="65" customWidth="1"/>
    <col min="5" max="8" width="16" customWidth="1"/>
  </cols>
  <sheetData>
    <row r="1" spans="1:8" ht="15.75" customHeight="1" x14ac:dyDescent="0.25">
      <c r="A1" s="59" t="s">
        <v>216</v>
      </c>
      <c r="B1" s="59"/>
      <c r="C1" s="59"/>
      <c r="D1" s="59"/>
      <c r="E1" s="59"/>
      <c r="F1" s="59"/>
    </row>
    <row r="3" spans="1:8" ht="15" customHeight="1" x14ac:dyDescent="0.25">
      <c r="A3" s="60" t="s">
        <v>217</v>
      </c>
      <c r="B3" s="60"/>
      <c r="C3" s="60"/>
      <c r="D3" s="60"/>
      <c r="E3" s="60"/>
      <c r="F3" s="60"/>
      <c r="G3" s="60"/>
      <c r="H3" s="60"/>
    </row>
    <row r="5" spans="1:8" ht="15.75" customHeight="1" x14ac:dyDescent="0.25">
      <c r="A5" s="5" t="s">
        <v>218</v>
      </c>
    </row>
    <row r="6" spans="1:8" ht="15" customHeight="1" x14ac:dyDescent="0.25">
      <c r="A6" s="4" t="s">
        <v>219</v>
      </c>
      <c r="B6" s="56" t="s">
        <v>220</v>
      </c>
      <c r="C6" s="56"/>
      <c r="D6" s="56"/>
      <c r="E6" s="56" t="s">
        <v>221</v>
      </c>
      <c r="F6" s="56"/>
      <c r="G6" s="56"/>
      <c r="H6" s="56"/>
    </row>
    <row r="7" spans="1:8" ht="15" customHeight="1" x14ac:dyDescent="0.25">
      <c r="A7" s="13" t="s">
        <v>222</v>
      </c>
      <c r="B7" s="52" t="s">
        <v>223</v>
      </c>
      <c r="C7" s="52"/>
      <c r="D7" s="52"/>
      <c r="E7" s="52" t="s">
        <v>224</v>
      </c>
      <c r="F7" s="52"/>
      <c r="G7" s="52"/>
      <c r="H7" s="52"/>
    </row>
    <row r="8" spans="1:8" ht="15" customHeight="1" x14ac:dyDescent="0.25">
      <c r="A8" s="13" t="s">
        <v>225</v>
      </c>
      <c r="B8" s="52" t="s">
        <v>226</v>
      </c>
      <c r="C8" s="52"/>
      <c r="D8" s="52"/>
      <c r="E8" s="52" t="s">
        <v>227</v>
      </c>
      <c r="F8" s="52"/>
      <c r="G8" s="52"/>
      <c r="H8" s="52"/>
    </row>
    <row r="9" spans="1:8" ht="15" customHeight="1" x14ac:dyDescent="0.25">
      <c r="A9" s="13" t="s">
        <v>228</v>
      </c>
      <c r="B9" s="52" t="s">
        <v>229</v>
      </c>
      <c r="C9" s="52"/>
      <c r="D9" s="52"/>
      <c r="E9" s="52" t="s">
        <v>230</v>
      </c>
      <c r="F9" s="52"/>
      <c r="G9" s="52"/>
      <c r="H9" s="52"/>
    </row>
    <row r="12" spans="1:8" ht="15.75" customHeight="1" x14ac:dyDescent="0.25">
      <c r="A12" s="5" t="s">
        <v>231</v>
      </c>
    </row>
    <row r="13" spans="1:8" ht="15" customHeight="1" x14ac:dyDescent="0.25">
      <c r="A13" s="56" t="s">
        <v>232</v>
      </c>
      <c r="B13" s="56"/>
      <c r="C13" s="56"/>
      <c r="D13" s="56" t="s">
        <v>219</v>
      </c>
      <c r="E13" s="56"/>
      <c r="F13" s="56"/>
      <c r="G13" s="56"/>
      <c r="H13" s="4" t="s">
        <v>233</v>
      </c>
    </row>
    <row r="14" spans="1:8" ht="15" customHeight="1" x14ac:dyDescent="0.25">
      <c r="A14" s="52" t="s">
        <v>234</v>
      </c>
      <c r="B14" s="52"/>
      <c r="C14" s="52"/>
      <c r="D14" s="57">
        <f>SUM('Sales Data'!N4:N105)</f>
        <v>69226.345499999908</v>
      </c>
      <c r="E14" s="58"/>
      <c r="F14" s="58"/>
      <c r="G14" s="58"/>
      <c r="H14" s="44">
        <f>SUM('Sales Data'!N4:N105)</f>
        <v>69226.345499999908</v>
      </c>
    </row>
    <row r="15" spans="1:8" ht="15" customHeight="1" x14ac:dyDescent="0.25">
      <c r="A15" s="52" t="s">
        <v>235</v>
      </c>
      <c r="B15" s="52"/>
      <c r="C15" s="52"/>
      <c r="D15" s="54">
        <f>SUMIF('Sales Data'!H4:H105,"Electronics",'Sales Data'!N4:N105)</f>
        <v>45241.649499999992</v>
      </c>
      <c r="E15" s="55"/>
      <c r="F15" s="55"/>
      <c r="G15" s="55"/>
      <c r="H15" s="44">
        <f>SUMIF('Sales Data'!H4:H105,"Electronics",'Sales Data'!N4:N105)</f>
        <v>45241.649499999992</v>
      </c>
    </row>
    <row r="16" spans="1:8" ht="15" customHeight="1" x14ac:dyDescent="0.25">
      <c r="A16" s="52" t="s">
        <v>236</v>
      </c>
      <c r="B16" s="52"/>
      <c r="C16" s="52"/>
      <c r="D16" s="54">
        <f>SUMIF('Sales Data'!H4:H105,"Furniture",'Sales Data'!N4:N105)</f>
        <v>22248.5795</v>
      </c>
      <c r="E16" s="55"/>
      <c r="F16" s="55"/>
      <c r="G16" s="55"/>
      <c r="H16" s="44">
        <f>SUMIF('Sales Data'!H4:H105,"Furniture",'Sales Data'!N4:N105)</f>
        <v>22248.5795</v>
      </c>
    </row>
    <row r="17" spans="1:8" ht="15" customHeight="1" x14ac:dyDescent="0.25">
      <c r="A17" s="52" t="s">
        <v>237</v>
      </c>
      <c r="B17" s="52"/>
      <c r="C17" s="52"/>
      <c r="D17" s="54">
        <f>SUMIFS('Sales Data'!N4:N105,'Sales Data'!H4:H105,"Electronics",'Sales Data'!F4:F105,"NSW")</f>
        <v>10199.694</v>
      </c>
      <c r="E17" s="55"/>
      <c r="F17" s="55"/>
      <c r="G17" s="55"/>
      <c r="H17" s="44">
        <f>SUMIFS('Sales Data'!N4:N105,'Sales Data'!H4:H105,"Electronics",'Sales Data'!F4:F105,"NSW")</f>
        <v>10199.694</v>
      </c>
    </row>
    <row r="18" spans="1:8" ht="15" customHeight="1" x14ac:dyDescent="0.25">
      <c r="A18" s="52" t="s">
        <v>238</v>
      </c>
      <c r="B18" s="52"/>
      <c r="C18" s="52"/>
      <c r="D18" s="54">
        <f>SUMIFS('Sales Data'!N4:N105,'Sales Data'!P4:P105,"Alice Morgan",'Sales Data'!O4:O105,"Delivered")</f>
        <v>6410.8895000000002</v>
      </c>
      <c r="E18" s="55"/>
      <c r="F18" s="55"/>
      <c r="G18" s="55"/>
      <c r="H18" s="44">
        <f>SUMIFS('Sales Data'!N4:N105,'Sales Data'!P4:P105,"Alice Morgan",'Sales Data'!O4:O105,"Delivered")</f>
        <v>6410.8895000000002</v>
      </c>
    </row>
    <row r="21" spans="1:8" ht="15.75" customHeight="1" x14ac:dyDescent="0.25">
      <c r="A21" s="5" t="s">
        <v>239</v>
      </c>
    </row>
    <row r="22" spans="1:8" ht="15" customHeight="1" x14ac:dyDescent="0.25">
      <c r="A22" s="56" t="s">
        <v>240</v>
      </c>
      <c r="B22" s="56"/>
      <c r="C22" s="56"/>
      <c r="D22" s="56"/>
      <c r="E22" s="56" t="s">
        <v>241</v>
      </c>
      <c r="F22" s="56"/>
      <c r="G22" s="56"/>
      <c r="H22" s="56"/>
    </row>
    <row r="23" spans="1:8" ht="15" customHeight="1" x14ac:dyDescent="0.25">
      <c r="A23" s="52" t="s">
        <v>242</v>
      </c>
      <c r="B23" s="52"/>
      <c r="C23" s="52"/>
      <c r="D23" s="52"/>
      <c r="E23" s="53">
        <f>SUMIF('Sales Data'!H4:H105,"Office Supplies",'Sales Data'!N4:N105)</f>
        <v>1736.1165000000001</v>
      </c>
      <c r="F23" s="53"/>
      <c r="G23" s="53"/>
      <c r="H23" s="53"/>
    </row>
    <row r="24" spans="1:8" ht="15" customHeight="1" x14ac:dyDescent="0.25">
      <c r="A24" s="52" t="s">
        <v>243</v>
      </c>
      <c r="B24" s="52"/>
      <c r="C24" s="52"/>
      <c r="D24" s="52"/>
      <c r="E24" s="53">
        <f>SUMIF('Sales Data'!E4:E105,"Melbourne",'Sales Data'!N4:N105)</f>
        <v>16119.648999999999</v>
      </c>
      <c r="F24" s="53"/>
      <c r="G24" s="53"/>
      <c r="H24" s="53"/>
    </row>
    <row r="25" spans="1:8" ht="15" customHeight="1" x14ac:dyDescent="0.25">
      <c r="A25" s="52" t="s">
        <v>244</v>
      </c>
      <c r="B25" s="52"/>
      <c r="C25" s="52"/>
      <c r="D25" s="52"/>
      <c r="E25" s="53">
        <f>SUMIFS('Sales Data'!N4:N105,'Sales Data'!F4:F105,"VIC",'Sales Data'!H4:H105,"Furniture")</f>
        <v>8379.1794999999984</v>
      </c>
      <c r="F25" s="53"/>
      <c r="G25" s="53"/>
      <c r="H25" s="53"/>
    </row>
  </sheetData>
  <mergeCells count="30">
    <mergeCell ref="A1:F1"/>
    <mergeCell ref="A3:H3"/>
    <mergeCell ref="B6:D6"/>
    <mergeCell ref="E6:H6"/>
    <mergeCell ref="B7:D7"/>
    <mergeCell ref="E7:H7"/>
    <mergeCell ref="B8:D8"/>
    <mergeCell ref="E8:H8"/>
    <mergeCell ref="B9:D9"/>
    <mergeCell ref="E9:H9"/>
    <mergeCell ref="A13:C13"/>
    <mergeCell ref="D13:G13"/>
    <mergeCell ref="A14:C14"/>
    <mergeCell ref="D14:G14"/>
    <mergeCell ref="A15:C15"/>
    <mergeCell ref="D15:G15"/>
    <mergeCell ref="A16:C16"/>
    <mergeCell ref="D16:G16"/>
    <mergeCell ref="A17:C17"/>
    <mergeCell ref="D17:G17"/>
    <mergeCell ref="A18:C18"/>
    <mergeCell ref="D18:G18"/>
    <mergeCell ref="A22:D22"/>
    <mergeCell ref="E22:H22"/>
    <mergeCell ref="A23:D23"/>
    <mergeCell ref="E23:H23"/>
    <mergeCell ref="A24:D24"/>
    <mergeCell ref="E24:H24"/>
    <mergeCell ref="A25:D25"/>
    <mergeCell ref="E25:H2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K27"/>
  <sheetViews>
    <sheetView zoomScaleNormal="100" workbookViewId="0">
      <selection activeCell="E27" sqref="E27:H27"/>
    </sheetView>
  </sheetViews>
  <sheetFormatPr defaultColWidth="8.7109375" defaultRowHeight="15" x14ac:dyDescent="0.25"/>
  <cols>
    <col min="1" max="8" width="16" customWidth="1"/>
  </cols>
  <sheetData>
    <row r="1" spans="1:11" ht="15.75" customHeight="1" x14ac:dyDescent="0.25">
      <c r="A1" s="59" t="s">
        <v>245</v>
      </c>
      <c r="B1" s="59"/>
      <c r="C1" s="59"/>
      <c r="D1" s="59"/>
      <c r="E1" s="59"/>
      <c r="F1" s="59"/>
    </row>
    <row r="3" spans="1:11" ht="15" customHeight="1" x14ac:dyDescent="0.25">
      <c r="A3" s="60" t="s">
        <v>246</v>
      </c>
      <c r="B3" s="60"/>
      <c r="C3" s="60"/>
      <c r="D3" s="60"/>
      <c r="E3" s="60"/>
      <c r="F3" s="60"/>
      <c r="G3" s="60"/>
      <c r="H3" s="60"/>
    </row>
    <row r="5" spans="1:11" ht="15.75" customHeight="1" x14ac:dyDescent="0.25">
      <c r="A5" s="5" t="s">
        <v>218</v>
      </c>
    </row>
    <row r="6" spans="1:11" ht="15" customHeight="1" x14ac:dyDescent="0.25">
      <c r="A6" s="4" t="s">
        <v>219</v>
      </c>
      <c r="B6" s="56" t="s">
        <v>220</v>
      </c>
      <c r="C6" s="56"/>
      <c r="D6" s="56"/>
      <c r="E6" s="56" t="s">
        <v>221</v>
      </c>
      <c r="F6" s="56"/>
      <c r="G6" s="56"/>
      <c r="H6" s="56"/>
    </row>
    <row r="7" spans="1:11" ht="15" customHeight="1" x14ac:dyDescent="0.25">
      <c r="A7" s="13" t="s">
        <v>247</v>
      </c>
      <c r="B7" s="54" t="s">
        <v>248</v>
      </c>
      <c r="C7" s="54"/>
      <c r="D7" s="54"/>
      <c r="E7" s="54" t="s">
        <v>249</v>
      </c>
      <c r="F7" s="54"/>
      <c r="G7" s="54"/>
      <c r="H7" s="54"/>
    </row>
    <row r="8" spans="1:11" ht="15" customHeight="1" x14ac:dyDescent="0.25">
      <c r="A8" s="13" t="s">
        <v>250</v>
      </c>
      <c r="B8" s="54" t="s">
        <v>251</v>
      </c>
      <c r="C8" s="54"/>
      <c r="D8" s="54"/>
      <c r="E8" s="54" t="s">
        <v>252</v>
      </c>
      <c r="F8" s="54"/>
      <c r="G8" s="54"/>
      <c r="H8" s="54"/>
    </row>
    <row r="9" spans="1:11" ht="15" customHeight="1" x14ac:dyDescent="0.25">
      <c r="A9" s="13" t="s">
        <v>253</v>
      </c>
      <c r="B9" s="54" t="s">
        <v>254</v>
      </c>
      <c r="C9" s="54"/>
      <c r="D9" s="54"/>
      <c r="E9" s="54" t="s">
        <v>255</v>
      </c>
      <c r="F9" s="54"/>
      <c r="G9" s="54"/>
      <c r="H9" s="54"/>
    </row>
    <row r="10" spans="1:11" ht="15" customHeight="1" x14ac:dyDescent="0.25">
      <c r="A10" s="13" t="s">
        <v>256</v>
      </c>
      <c r="B10" s="54" t="s">
        <v>257</v>
      </c>
      <c r="C10" s="54"/>
      <c r="D10" s="54"/>
      <c r="E10" s="54" t="s">
        <v>258</v>
      </c>
      <c r="F10" s="54"/>
      <c r="G10" s="54"/>
      <c r="H10" s="54"/>
    </row>
    <row r="11" spans="1:11" ht="15" customHeight="1" x14ac:dyDescent="0.25">
      <c r="A11" s="13" t="s">
        <v>259</v>
      </c>
      <c r="B11" s="54" t="s">
        <v>260</v>
      </c>
      <c r="C11" s="54"/>
      <c r="D11" s="54"/>
      <c r="E11" s="54" t="s">
        <v>261</v>
      </c>
      <c r="F11" s="54"/>
      <c r="G11" s="54"/>
      <c r="H11" s="54"/>
    </row>
    <row r="14" spans="1:11" ht="15.75" customHeight="1" x14ac:dyDescent="0.25">
      <c r="A14" s="5" t="s">
        <v>262</v>
      </c>
    </row>
    <row r="15" spans="1:11" ht="15" customHeight="1" x14ac:dyDescent="0.25">
      <c r="A15" s="56" t="s">
        <v>232</v>
      </c>
      <c r="B15" s="56"/>
      <c r="C15" s="56"/>
      <c r="D15" s="56" t="s">
        <v>219</v>
      </c>
      <c r="E15" s="56"/>
      <c r="F15" s="56"/>
      <c r="G15" s="56"/>
      <c r="H15" s="4" t="s">
        <v>233</v>
      </c>
      <c r="K15" t="s">
        <v>505</v>
      </c>
    </row>
    <row r="16" spans="1:11" ht="15" customHeight="1" x14ac:dyDescent="0.25">
      <c r="A16" s="54" t="s">
        <v>263</v>
      </c>
      <c r="B16" s="54"/>
      <c r="C16" s="54"/>
      <c r="D16" s="54">
        <f>COUNTA('Sales Data'!H4:H105)</f>
        <v>102</v>
      </c>
      <c r="E16" s="55"/>
      <c r="F16" s="55"/>
      <c r="G16" s="55"/>
      <c r="H16" s="42">
        <f>COUNTA('Sales Data'!A4:A105)</f>
        <v>102</v>
      </c>
      <c r="K16" t="s">
        <v>69</v>
      </c>
    </row>
    <row r="17" spans="1:8" ht="15" customHeight="1" x14ac:dyDescent="0.25">
      <c r="A17" s="54" t="s">
        <v>264</v>
      </c>
      <c r="B17" s="54"/>
      <c r="C17" s="54"/>
      <c r="D17" s="54">
        <f>E25</f>
        <v>19</v>
      </c>
      <c r="E17" s="55"/>
      <c r="F17" s="55"/>
      <c r="G17" s="55"/>
      <c r="H17" s="42">
        <f>COUNTIF('Sales Data'!O4:O105,"Delivered")</f>
        <v>63</v>
      </c>
    </row>
    <row r="18" spans="1:8" ht="15" customHeight="1" x14ac:dyDescent="0.25">
      <c r="A18" s="54" t="s">
        <v>265</v>
      </c>
      <c r="B18" s="54"/>
      <c r="C18" s="54"/>
      <c r="D18" s="54">
        <f>COUNTIF('Sales Data'!O4:O105,"Returned")</f>
        <v>14</v>
      </c>
      <c r="E18" s="55"/>
      <c r="F18" s="55"/>
      <c r="G18" s="55"/>
      <c r="H18" s="42">
        <f>COUNTIF('Sales Data'!O4:O105,"Returned")</f>
        <v>14</v>
      </c>
    </row>
    <row r="19" spans="1:8" ht="15" customHeight="1" x14ac:dyDescent="0.25">
      <c r="A19" s="54" t="s">
        <v>266</v>
      </c>
      <c r="B19" s="54"/>
      <c r="C19" s="54"/>
      <c r="D19" s="54">
        <f>COUNTIFS('Sales Data'!H4:H105,"Electronics",'Sales Data'!F4:F105,"VIC")</f>
        <v>11</v>
      </c>
      <c r="E19" s="55"/>
      <c r="F19" s="55"/>
      <c r="G19" s="55"/>
      <c r="H19" s="42">
        <f>COUNTIFS('Sales Data'!H4:H105,"Electronics",'Sales Data'!F4:F105,"NSW")</f>
        <v>11</v>
      </c>
    </row>
    <row r="20" spans="1:8" ht="15" customHeight="1" x14ac:dyDescent="0.25">
      <c r="A20" s="54" t="s">
        <v>267</v>
      </c>
      <c r="B20" s="54"/>
      <c r="C20" s="54"/>
      <c r="D20" s="54">
        <f>COUNTIFS('Sales Data'!P4:P105,"Bob Smith",'Sales Data'!O4:O105,"Shipped")</f>
        <v>4</v>
      </c>
      <c r="E20" s="55"/>
      <c r="F20" s="55"/>
      <c r="G20" s="55"/>
      <c r="H20" s="42">
        <f>COUNTIFS('Sales Data'!P4:P105,"Bob Smith",'Sales Data'!O4:O105,"Shipped")</f>
        <v>4</v>
      </c>
    </row>
    <row r="23" spans="1:8" ht="15.75" customHeight="1" x14ac:dyDescent="0.25">
      <c r="A23" s="5" t="s">
        <v>239</v>
      </c>
    </row>
    <row r="24" spans="1:8" ht="15" customHeight="1" x14ac:dyDescent="0.25">
      <c r="A24" s="56" t="s">
        <v>240</v>
      </c>
      <c r="B24" s="56"/>
      <c r="C24" s="56"/>
      <c r="D24" s="56"/>
      <c r="E24" s="56" t="s">
        <v>241</v>
      </c>
      <c r="F24" s="56"/>
      <c r="G24" s="56"/>
      <c r="H24" s="56"/>
    </row>
    <row r="25" spans="1:8" ht="15" customHeight="1" x14ac:dyDescent="0.25">
      <c r="A25" s="54" t="s">
        <v>268</v>
      </c>
      <c r="B25" s="54"/>
      <c r="C25" s="54"/>
      <c r="D25" s="54"/>
      <c r="E25" s="53">
        <f>COUNTIF('Sales Data'!Q4:Q106,"PayPal")</f>
        <v>19</v>
      </c>
      <c r="F25" s="53"/>
      <c r="G25" s="53"/>
      <c r="H25" s="53"/>
    </row>
    <row r="26" spans="1:8" ht="15" customHeight="1" x14ac:dyDescent="0.25">
      <c r="A26" s="54" t="s">
        <v>269</v>
      </c>
      <c r="B26" s="54"/>
      <c r="C26" s="54"/>
      <c r="D26" s="54"/>
      <c r="E26" s="53">
        <f>COUNTIFS('Sales Data'!H4:H105,"Furniture",'Sales Data'!F4:F105,"VIC")</f>
        <v>8</v>
      </c>
      <c r="F26" s="53"/>
      <c r="G26" s="53"/>
      <c r="H26" s="53"/>
    </row>
    <row r="27" spans="1:8" ht="15" customHeight="1" x14ac:dyDescent="0.25">
      <c r="A27" s="54" t="s">
        <v>270</v>
      </c>
      <c r="B27" s="54"/>
      <c r="C27" s="54"/>
      <c r="D27" s="54"/>
      <c r="E27" s="53">
        <f>COUNTA('Sales Data'!M4:M105)</f>
        <v>102</v>
      </c>
      <c r="F27" s="53"/>
      <c r="G27" s="53"/>
      <c r="H27" s="53"/>
    </row>
  </sheetData>
  <mergeCells count="34">
    <mergeCell ref="A1:F1"/>
    <mergeCell ref="A3:H3"/>
    <mergeCell ref="B6:D6"/>
    <mergeCell ref="E6:H6"/>
    <mergeCell ref="B7:D7"/>
    <mergeCell ref="E7:H7"/>
    <mergeCell ref="B8:D8"/>
    <mergeCell ref="E8:H8"/>
    <mergeCell ref="B9:D9"/>
    <mergeCell ref="E9:H9"/>
    <mergeCell ref="B10:D10"/>
    <mergeCell ref="E10:H10"/>
    <mergeCell ref="B11:D11"/>
    <mergeCell ref="E11:H11"/>
    <mergeCell ref="A15:C15"/>
    <mergeCell ref="D15:G15"/>
    <mergeCell ref="A16:C16"/>
    <mergeCell ref="D16:G16"/>
    <mergeCell ref="A17:C17"/>
    <mergeCell ref="D17:G17"/>
    <mergeCell ref="A18:C18"/>
    <mergeCell ref="D18:G18"/>
    <mergeCell ref="A19:C19"/>
    <mergeCell ref="D19:G19"/>
    <mergeCell ref="A26:D26"/>
    <mergeCell ref="E26:H26"/>
    <mergeCell ref="A27:D27"/>
    <mergeCell ref="E27:H27"/>
    <mergeCell ref="A20:C20"/>
    <mergeCell ref="D20:G20"/>
    <mergeCell ref="A24:D24"/>
    <mergeCell ref="E24:H24"/>
    <mergeCell ref="A25:D25"/>
    <mergeCell ref="E25:H25"/>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H31"/>
  <sheetViews>
    <sheetView topLeftCell="A2" zoomScaleNormal="100" workbookViewId="0">
      <selection activeCell="A30" sqref="A30:D30"/>
    </sheetView>
  </sheetViews>
  <sheetFormatPr defaultColWidth="8.7109375" defaultRowHeight="15" x14ac:dyDescent="0.25"/>
  <cols>
    <col min="1" max="8" width="16" customWidth="1"/>
  </cols>
  <sheetData>
    <row r="1" spans="1:8" ht="15.75" customHeight="1" x14ac:dyDescent="0.25">
      <c r="A1" s="59" t="s">
        <v>271</v>
      </c>
      <c r="B1" s="59"/>
      <c r="C1" s="59"/>
      <c r="D1" s="59"/>
      <c r="E1" s="59"/>
      <c r="F1" s="59"/>
    </row>
    <row r="3" spans="1:8" ht="15" customHeight="1" x14ac:dyDescent="0.25">
      <c r="A3" s="60" t="s">
        <v>272</v>
      </c>
      <c r="B3" s="60"/>
      <c r="C3" s="60"/>
      <c r="D3" s="60"/>
      <c r="E3" s="60"/>
      <c r="F3" s="60"/>
      <c r="G3" s="60"/>
      <c r="H3" s="60"/>
    </row>
    <row r="5" spans="1:8" ht="15.75" customHeight="1" x14ac:dyDescent="0.25">
      <c r="A5" s="5" t="s">
        <v>218</v>
      </c>
    </row>
    <row r="6" spans="1:8" ht="15" customHeight="1" x14ac:dyDescent="0.25">
      <c r="A6" s="4" t="s">
        <v>219</v>
      </c>
      <c r="B6" s="56" t="s">
        <v>220</v>
      </c>
      <c r="C6" s="56"/>
      <c r="D6" s="56"/>
      <c r="E6" s="56" t="s">
        <v>221</v>
      </c>
      <c r="F6" s="56"/>
      <c r="G6" s="56"/>
      <c r="H6" s="56"/>
    </row>
    <row r="7" spans="1:8" ht="15" customHeight="1" x14ac:dyDescent="0.25">
      <c r="A7" s="13" t="s">
        <v>273</v>
      </c>
      <c r="B7" s="54" t="s">
        <v>274</v>
      </c>
      <c r="C7" s="54"/>
      <c r="D7" s="54"/>
      <c r="E7" s="54" t="s">
        <v>275</v>
      </c>
      <c r="F7" s="54"/>
      <c r="G7" s="54"/>
      <c r="H7" s="54"/>
    </row>
    <row r="8" spans="1:8" ht="15" customHeight="1" x14ac:dyDescent="0.25">
      <c r="A8" s="13" t="s">
        <v>276</v>
      </c>
      <c r="B8" s="54" t="s">
        <v>277</v>
      </c>
      <c r="C8" s="54"/>
      <c r="D8" s="54"/>
      <c r="E8" s="54" t="s">
        <v>278</v>
      </c>
      <c r="F8" s="54"/>
      <c r="G8" s="54"/>
      <c r="H8" s="54"/>
    </row>
    <row r="9" spans="1:8" ht="15" customHeight="1" x14ac:dyDescent="0.25">
      <c r="A9" s="13" t="s">
        <v>279</v>
      </c>
      <c r="B9" s="54" t="s">
        <v>280</v>
      </c>
      <c r="C9" s="54"/>
      <c r="D9" s="54"/>
      <c r="E9" s="54" t="s">
        <v>281</v>
      </c>
      <c r="F9" s="54"/>
      <c r="G9" s="54"/>
      <c r="H9" s="54"/>
    </row>
    <row r="10" spans="1:8" ht="15" customHeight="1" x14ac:dyDescent="0.25">
      <c r="A10" s="13" t="s">
        <v>282</v>
      </c>
      <c r="B10" s="54" t="s">
        <v>283</v>
      </c>
      <c r="C10" s="54"/>
      <c r="D10" s="54"/>
      <c r="E10" s="54" t="s">
        <v>284</v>
      </c>
      <c r="F10" s="54"/>
      <c r="G10" s="54"/>
      <c r="H10" s="54"/>
    </row>
    <row r="11" spans="1:8" ht="15" customHeight="1" x14ac:dyDescent="0.25">
      <c r="A11" s="13" t="s">
        <v>285</v>
      </c>
      <c r="B11" s="54" t="s">
        <v>286</v>
      </c>
      <c r="C11" s="54"/>
      <c r="D11" s="54"/>
      <c r="E11" s="54" t="s">
        <v>287</v>
      </c>
      <c r="F11" s="54"/>
      <c r="G11" s="54"/>
      <c r="H11" s="54"/>
    </row>
    <row r="12" spans="1:8" ht="15" customHeight="1" x14ac:dyDescent="0.25">
      <c r="A12" s="13" t="s">
        <v>288</v>
      </c>
      <c r="B12" s="54" t="s">
        <v>289</v>
      </c>
      <c r="C12" s="54"/>
      <c r="D12" s="54"/>
      <c r="E12" s="54" t="s">
        <v>290</v>
      </c>
      <c r="F12" s="54"/>
      <c r="G12" s="54"/>
      <c r="H12" s="54"/>
    </row>
    <row r="13" spans="1:8" ht="15" customHeight="1" x14ac:dyDescent="0.25">
      <c r="A13" s="13" t="s">
        <v>291</v>
      </c>
      <c r="B13" s="54" t="s">
        <v>292</v>
      </c>
      <c r="C13" s="54"/>
      <c r="D13" s="54"/>
      <c r="E13" s="54" t="s">
        <v>293</v>
      </c>
      <c r="F13" s="54"/>
      <c r="G13" s="54"/>
      <c r="H13" s="54"/>
    </row>
    <row r="16" spans="1:8" ht="15.75" customHeight="1" x14ac:dyDescent="0.25">
      <c r="A16" s="5" t="s">
        <v>262</v>
      </c>
    </row>
    <row r="17" spans="1:8" ht="15" customHeight="1" x14ac:dyDescent="0.25">
      <c r="A17" s="56" t="s">
        <v>232</v>
      </c>
      <c r="B17" s="56"/>
      <c r="C17" s="56"/>
      <c r="D17" s="56" t="s">
        <v>219</v>
      </c>
      <c r="E17" s="56"/>
      <c r="F17" s="56"/>
      <c r="G17" s="56"/>
      <c r="H17" s="4" t="s">
        <v>233</v>
      </c>
    </row>
    <row r="18" spans="1:8" ht="15" customHeight="1" x14ac:dyDescent="0.25">
      <c r="A18" s="54" t="s">
        <v>294</v>
      </c>
      <c r="B18" s="54"/>
      <c r="C18" s="54"/>
      <c r="D18" s="43">
        <f>AVERAGE('Sales Data'!N4:N105)</f>
        <v>685.40936138613768</v>
      </c>
      <c r="E18" s="3"/>
      <c r="F18" s="3"/>
      <c r="G18" s="3"/>
      <c r="H18" s="44">
        <f>AVERAGE('Sales Data'!N4:N105)</f>
        <v>685.40936138613768</v>
      </c>
    </row>
    <row r="19" spans="1:8" ht="15" customHeight="1" x14ac:dyDescent="0.25">
      <c r="A19" s="54" t="s">
        <v>295</v>
      </c>
      <c r="B19" s="54"/>
      <c r="C19" s="54"/>
      <c r="D19">
        <f>AVERAGEIF('Sales Data'!H4:H105,"Electronics",'Sales Data'!N4:N105)</f>
        <v>983.51411956521724</v>
      </c>
      <c r="E19" s="2"/>
      <c r="F19" s="2"/>
      <c r="G19" s="2"/>
      <c r="H19" s="44">
        <f>AVERAGEIF('Sales Data'!H4:H105,"Electronics",'Sales Data'!N4:N105)</f>
        <v>983.51411956521724</v>
      </c>
    </row>
    <row r="20" spans="1:8" ht="15" customHeight="1" x14ac:dyDescent="0.25">
      <c r="A20" s="54" t="s">
        <v>296</v>
      </c>
      <c r="B20" s="54"/>
      <c r="C20" s="54"/>
      <c r="D20">
        <f>AVERAGEIFS('Sales Data'!N4:N105,'Sales Data'!O4:O105,"Delivered",'Sales Data'!E4:E105,"Sydney")</f>
        <v>409.08057142857132</v>
      </c>
      <c r="E20" s="2"/>
      <c r="F20" s="2"/>
      <c r="G20" s="2"/>
      <c r="H20" s="44">
        <f>AVERAGEIFS('Sales Data'!N4:N105,'Sales Data'!O4:O105,"Delivered",'Sales Data'!E4:E105,"Sydney")</f>
        <v>409.08057142857132</v>
      </c>
    </row>
    <row r="21" spans="1:8" ht="15" customHeight="1" x14ac:dyDescent="0.25">
      <c r="A21" s="54" t="s">
        <v>297</v>
      </c>
      <c r="B21" s="54"/>
      <c r="C21" s="54"/>
      <c r="D21" s="43">
        <f>MAX('Sales Data'!N4:N105)</f>
        <v>4499.95</v>
      </c>
      <c r="E21" s="3"/>
      <c r="F21" s="3"/>
      <c r="G21" s="3"/>
      <c r="H21" s="44">
        <f>MAX('Sales Data'!N4:N105)</f>
        <v>4499.95</v>
      </c>
    </row>
    <row r="22" spans="1:8" ht="15" customHeight="1" x14ac:dyDescent="0.25">
      <c r="A22" s="54" t="s">
        <v>298</v>
      </c>
      <c r="B22" s="54"/>
      <c r="C22" s="54"/>
      <c r="D22" s="43">
        <f>MIN('Sales Data'!N4:N105)</f>
        <v>8.0910000000000011</v>
      </c>
      <c r="E22" s="3"/>
      <c r="F22" s="3"/>
      <c r="G22" s="3"/>
      <c r="H22" s="44">
        <f>MIN('Sales Data'!N4:N105)</f>
        <v>8.0910000000000011</v>
      </c>
    </row>
    <row r="23" spans="1:8" ht="15" customHeight="1" x14ac:dyDescent="0.25">
      <c r="A23" s="54" t="s">
        <v>299</v>
      </c>
      <c r="B23" s="54"/>
      <c r="C23" s="54"/>
      <c r="D23">
        <f>LARGE('Sales Data'!N4:N105,2)</f>
        <v>4049.9549999999999</v>
      </c>
      <c r="E23" s="2"/>
      <c r="F23" s="2"/>
      <c r="G23" s="2"/>
      <c r="H23" s="44">
        <f>LARGE('Sales Data'!N4:N105,2)</f>
        <v>4049.9549999999999</v>
      </c>
    </row>
    <row r="24" spans="1:8" ht="15" customHeight="1" x14ac:dyDescent="0.25">
      <c r="A24" s="54" t="s">
        <v>300</v>
      </c>
      <c r="B24" s="54"/>
      <c r="C24" s="54"/>
      <c r="D24">
        <f>SMALL('Sales Data'!N4:N105,3)</f>
        <v>12.99</v>
      </c>
      <c r="E24" s="2"/>
      <c r="F24" s="2"/>
      <c r="G24" s="2"/>
      <c r="H24" s="44">
        <f>SMALL('Sales Data'!N4:N105,3)</f>
        <v>12.99</v>
      </c>
    </row>
    <row r="27" spans="1:8" ht="15.75" customHeight="1" x14ac:dyDescent="0.25">
      <c r="A27" s="5" t="s">
        <v>239</v>
      </c>
    </row>
    <row r="28" spans="1:8" ht="15" customHeight="1" x14ac:dyDescent="0.25">
      <c r="A28" s="56" t="s">
        <v>240</v>
      </c>
      <c r="B28" s="56"/>
      <c r="C28" s="56"/>
      <c r="D28" s="56"/>
      <c r="E28" s="56" t="s">
        <v>241</v>
      </c>
      <c r="F28" s="56"/>
      <c r="G28" s="56"/>
      <c r="H28" s="56"/>
    </row>
    <row r="29" spans="1:8" ht="15" customHeight="1" x14ac:dyDescent="0.25">
      <c r="A29" s="54" t="s">
        <v>301</v>
      </c>
      <c r="B29" s="54"/>
      <c r="C29" s="54"/>
      <c r="D29" s="54"/>
      <c r="E29" s="63">
        <f>AVERAGEIF('Sales Data'!H4:H105,"Furniture", 'Sales Data'!N4:N105)</f>
        <v>717.69611290322575</v>
      </c>
      <c r="F29" s="53"/>
      <c r="G29" s="53"/>
      <c r="H29" s="53"/>
    </row>
    <row r="30" spans="1:8" ht="15" customHeight="1" x14ac:dyDescent="0.25">
      <c r="A30" s="54" t="s">
        <v>302</v>
      </c>
      <c r="B30" s="54"/>
      <c r="C30" s="54"/>
      <c r="D30" s="54"/>
      <c r="E30" s="53">
        <f>LARGE('Sales Data'!N4:N105,3)</f>
        <v>3824.9575</v>
      </c>
      <c r="F30" s="53"/>
      <c r="G30" s="53"/>
      <c r="H30" s="53"/>
    </row>
    <row r="31" spans="1:8" ht="15" customHeight="1" x14ac:dyDescent="0.25">
      <c r="A31" s="54" t="s">
        <v>303</v>
      </c>
      <c r="B31" s="54"/>
      <c r="C31" s="54"/>
      <c r="D31" s="54"/>
      <c r="E31" s="53">
        <f>AVERAGEIFS('Sales Data'!N4:N105,'Sales Data'!O4:O105,"Delivered",'Sales Data'!P4:P105,"Bob Smith")</f>
        <v>855.60509374999981</v>
      </c>
      <c r="F31" s="53"/>
      <c r="G31" s="53"/>
      <c r="H31" s="53"/>
    </row>
  </sheetData>
  <mergeCells count="35">
    <mergeCell ref="A1:F1"/>
    <mergeCell ref="A3:H3"/>
    <mergeCell ref="B6:D6"/>
    <mergeCell ref="E6:H6"/>
    <mergeCell ref="B7:D7"/>
    <mergeCell ref="E7:H7"/>
    <mergeCell ref="B8:D8"/>
    <mergeCell ref="E8:H8"/>
    <mergeCell ref="B9:D9"/>
    <mergeCell ref="E9:H9"/>
    <mergeCell ref="B10:D10"/>
    <mergeCell ref="E10:H10"/>
    <mergeCell ref="A17:C17"/>
    <mergeCell ref="D17:G17"/>
    <mergeCell ref="A18:C18"/>
    <mergeCell ref="A19:C19"/>
    <mergeCell ref="B11:D11"/>
    <mergeCell ref="E11:H11"/>
    <mergeCell ref="B12:D12"/>
    <mergeCell ref="E12:H12"/>
    <mergeCell ref="B13:D13"/>
    <mergeCell ref="E13:H13"/>
    <mergeCell ref="A23:C23"/>
    <mergeCell ref="A24:C24"/>
    <mergeCell ref="A28:D28"/>
    <mergeCell ref="E28:H28"/>
    <mergeCell ref="A20:C20"/>
    <mergeCell ref="A21:C21"/>
    <mergeCell ref="A22:C22"/>
    <mergeCell ref="A29:D29"/>
    <mergeCell ref="E29:H29"/>
    <mergeCell ref="A30:D30"/>
    <mergeCell ref="E30:H30"/>
    <mergeCell ref="A31:D31"/>
    <mergeCell ref="E31:H3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M103"/>
  <sheetViews>
    <sheetView zoomScale="67" zoomScaleNormal="100" workbookViewId="0">
      <selection activeCell="L2" sqref="L2"/>
    </sheetView>
  </sheetViews>
  <sheetFormatPr defaultColWidth="8.7109375" defaultRowHeight="15" x14ac:dyDescent="0.25"/>
  <cols>
    <col min="1" max="8" width="18" customWidth="1"/>
    <col min="9" max="9" width="23.140625" customWidth="1"/>
    <col min="10" max="10" width="49.5703125" customWidth="1"/>
    <col min="11" max="11" width="51.42578125" customWidth="1"/>
    <col min="12" max="12" width="39.7109375" customWidth="1"/>
  </cols>
  <sheetData>
    <row r="1" spans="1:12" ht="15.75" customHeight="1" x14ac:dyDescent="0.25">
      <c r="A1" s="59" t="s">
        <v>304</v>
      </c>
      <c r="B1" s="59"/>
      <c r="C1" s="59"/>
      <c r="D1" s="59"/>
      <c r="E1" s="59"/>
      <c r="F1" s="59"/>
      <c r="G1" s="59"/>
      <c r="H1" s="59"/>
    </row>
    <row r="2" spans="1:12" x14ac:dyDescent="0.25">
      <c r="J2" t="str" cm="1">
        <f t="array" ref="J2:J103">IF('Sales Data'!J4:J105&gt;3, "Bulk","Single")</f>
        <v>Bulk</v>
      </c>
      <c r="K2" t="str" cm="1">
        <f t="array" ref="K2">_xlfn.IFS('Sales Data'!J3 &gt;= 4, "Large", 'Sales Data'!J3 &gt;= 2, "Medium",'Sales Data'!J3 &lt; 2,"Small")</f>
        <v>Large</v>
      </c>
      <c r="L2" t="str" cm="1">
        <f t="array" ref="L2">IF(AND('Sales Data'!O4:O105="Returned",'Sales Data'!N4:N104&gt;500),"Yes","No")</f>
        <v>No</v>
      </c>
    </row>
    <row r="3" spans="1:12" ht="15" customHeight="1" x14ac:dyDescent="0.25">
      <c r="A3" s="60" t="s">
        <v>305</v>
      </c>
      <c r="B3" s="60"/>
      <c r="C3" s="60"/>
      <c r="D3" s="60"/>
      <c r="E3" s="60"/>
      <c r="F3" s="60"/>
      <c r="G3" s="60"/>
      <c r="H3" s="60"/>
      <c r="J3" t="str">
        <v>Bulk</v>
      </c>
      <c r="K3" t="str" cm="1">
        <f t="array" ref="K3">_xlfn.IFS('Sales Data'!J4 &gt;= 4, "Large", 'Sales Data'!J4 &gt;= 2, "Medium",'Sales Data'!J4 &lt; 2,"Small")</f>
        <v>Large</v>
      </c>
      <c r="L3" t="str" cm="1">
        <f t="array" ref="L3">IF(AND('Sales Data'!O5:O106="Returned",'Sales Data'!N5:N105&gt;500),"Yes","No")</f>
        <v>No</v>
      </c>
    </row>
    <row r="4" spans="1:12" x14ac:dyDescent="0.25">
      <c r="J4" t="str">
        <v>Bulk</v>
      </c>
      <c r="K4" t="str" cm="1">
        <f t="array" ref="K4">_xlfn.IFS('Sales Data'!J5 &gt;= 4, "Large", 'Sales Data'!J5 &gt;= 2, "Medium",'Sales Data'!J5 &lt; 2,"Small")</f>
        <v>Large</v>
      </c>
      <c r="L4" t="str" cm="1">
        <f t="array" ref="L4">IF(AND('Sales Data'!O6:O107="Returned",'Sales Data'!N6:N106&gt;500),"Yes","No")</f>
        <v>No</v>
      </c>
    </row>
    <row r="5" spans="1:12" ht="15.75" customHeight="1" x14ac:dyDescent="0.25">
      <c r="A5" s="5" t="s">
        <v>218</v>
      </c>
      <c r="J5" t="str">
        <v>Bulk</v>
      </c>
      <c r="K5" t="str" cm="1">
        <f t="array" ref="K5">_xlfn.IFS('Sales Data'!J6 &gt;= 4, "Large", 'Sales Data'!J6 &gt;= 2, "Medium",'Sales Data'!J6 &lt; 2,"Small")</f>
        <v>Large</v>
      </c>
      <c r="L5" t="str" cm="1">
        <f t="array" ref="L5">IF(AND('Sales Data'!O7:O108="Returned",'Sales Data'!N7:N107&gt;500),"Yes","No")</f>
        <v>No</v>
      </c>
    </row>
    <row r="6" spans="1:12" ht="15" customHeight="1" x14ac:dyDescent="0.25">
      <c r="A6" s="4" t="s">
        <v>219</v>
      </c>
      <c r="B6" s="56" t="s">
        <v>220</v>
      </c>
      <c r="C6" s="56"/>
      <c r="D6" s="56"/>
      <c r="E6" s="56" t="s">
        <v>221</v>
      </c>
      <c r="F6" s="56"/>
      <c r="G6" s="56"/>
      <c r="H6" s="56"/>
      <c r="J6" t="str">
        <v>Bulk</v>
      </c>
      <c r="K6" t="str" cm="1">
        <f t="array" ref="K6">_xlfn.IFS('Sales Data'!J7 &gt;= 4, "Large", 'Sales Data'!J7 &gt;= 2, "Medium",'Sales Data'!J7 &lt; 2,"Small")</f>
        <v>Large</v>
      </c>
      <c r="L6" t="str" cm="1">
        <f t="array" ref="L6">IF(AND('Sales Data'!O8:O109="Returned",'Sales Data'!N8:N108&gt;500),"Yes","No")</f>
        <v>No</v>
      </c>
    </row>
    <row r="7" spans="1:12" ht="15" customHeight="1" x14ac:dyDescent="0.25">
      <c r="A7" s="13" t="s">
        <v>306</v>
      </c>
      <c r="B7" s="54" t="s">
        <v>307</v>
      </c>
      <c r="C7" s="54"/>
      <c r="D7" s="54"/>
      <c r="E7" s="54" t="s">
        <v>308</v>
      </c>
      <c r="F7" s="54"/>
      <c r="G7" s="54"/>
      <c r="H7" s="54"/>
      <c r="J7" t="str">
        <v>Single</v>
      </c>
      <c r="K7" t="str" cm="1">
        <f t="array" ref="K7">_xlfn.IFS('Sales Data'!J8 &gt;= 4, "Large", 'Sales Data'!J8 &gt;= 2, "Medium",'Sales Data'!J8 &lt; 2,"Small")</f>
        <v>Large</v>
      </c>
      <c r="L7" t="str" cm="1">
        <f t="array" ref="L7">IF(AND('Sales Data'!O9:O110="Returned",'Sales Data'!N9:N109&gt;500),"Yes","No")</f>
        <v>No</v>
      </c>
    </row>
    <row r="8" spans="1:12" ht="15" customHeight="1" x14ac:dyDescent="0.25">
      <c r="A8" s="13" t="s">
        <v>309</v>
      </c>
      <c r="B8" s="54" t="s">
        <v>310</v>
      </c>
      <c r="C8" s="54"/>
      <c r="D8" s="54"/>
      <c r="E8" s="54" t="s">
        <v>311</v>
      </c>
      <c r="F8" s="54"/>
      <c r="G8" s="54"/>
      <c r="H8" s="54"/>
      <c r="J8" t="str">
        <v>Bulk</v>
      </c>
      <c r="K8" t="str" cm="1">
        <f t="array" ref="K8">_xlfn.IFS('Sales Data'!J9 &gt;= 4, "Large", 'Sales Data'!J9 &gt;= 2, "Medium",'Sales Data'!J9 &lt; 2,"Small")</f>
        <v>Medium</v>
      </c>
      <c r="L8" t="str" cm="1">
        <f t="array" ref="L8">IF(AND('Sales Data'!O10:O111="Returned",'Sales Data'!N10:N110&gt;500),"Yes","No")</f>
        <v>No</v>
      </c>
    </row>
    <row r="9" spans="1:12" ht="15" customHeight="1" x14ac:dyDescent="0.25">
      <c r="A9" s="13" t="s">
        <v>312</v>
      </c>
      <c r="B9" s="54" t="s">
        <v>313</v>
      </c>
      <c r="C9" s="54"/>
      <c r="D9" s="54"/>
      <c r="E9" s="54" t="s">
        <v>314</v>
      </c>
      <c r="F9" s="54"/>
      <c r="G9" s="54"/>
      <c r="H9" s="54"/>
      <c r="J9" t="str">
        <v>Single</v>
      </c>
      <c r="K9" t="str" cm="1">
        <f t="array" ref="K9">_xlfn.IFS('Sales Data'!J10 &gt;= 4, "Large", 'Sales Data'!J10 &gt;= 2, "Medium",'Sales Data'!J10 &lt; 2,"Small")</f>
        <v>Large</v>
      </c>
      <c r="L9" t="str" cm="1">
        <f t="array" ref="L9">IF(AND('Sales Data'!O11:O112="Returned",'Sales Data'!N11:N111&gt;500),"Yes","No")</f>
        <v>No</v>
      </c>
    </row>
    <row r="10" spans="1:12" ht="15" customHeight="1" x14ac:dyDescent="0.25">
      <c r="A10" s="13" t="s">
        <v>315</v>
      </c>
      <c r="B10" s="54" t="s">
        <v>316</v>
      </c>
      <c r="C10" s="54"/>
      <c r="D10" s="54"/>
      <c r="E10" s="54" t="s">
        <v>317</v>
      </c>
      <c r="F10" s="54"/>
      <c r="G10" s="54"/>
      <c r="H10" s="54"/>
      <c r="J10" t="str">
        <v>Single</v>
      </c>
      <c r="K10" t="str" cm="1">
        <f t="array" ref="K10">_xlfn.IFS('Sales Data'!J11 &gt;= 4, "Large", 'Sales Data'!J11 &gt;= 2, "Medium",'Sales Data'!J11 &lt; 2,"Small")</f>
        <v>Medium</v>
      </c>
      <c r="L10" t="str" cm="1">
        <f t="array" ref="L10">IF(AND('Sales Data'!O12:O113="Returned",'Sales Data'!N12:N112&gt;500),"Yes","No")</f>
        <v>No</v>
      </c>
    </row>
    <row r="11" spans="1:12" ht="15" customHeight="1" x14ac:dyDescent="0.25">
      <c r="A11" s="13" t="s">
        <v>318</v>
      </c>
      <c r="B11" s="54" t="s">
        <v>319</v>
      </c>
      <c r="C11" s="54"/>
      <c r="D11" s="54"/>
      <c r="E11" s="54" t="s">
        <v>320</v>
      </c>
      <c r="F11" s="54"/>
      <c r="G11" s="54"/>
      <c r="H11" s="54"/>
      <c r="J11" t="str">
        <v>Bulk</v>
      </c>
      <c r="K11" t="str" cm="1">
        <f t="array" ref="K11">_xlfn.IFS('Sales Data'!J12 &gt;= 4, "Large", 'Sales Data'!J12 &gt;= 2, "Medium",'Sales Data'!J12 &lt; 2,"Small")</f>
        <v>Medium</v>
      </c>
      <c r="L11" t="str" cm="1">
        <f t="array" ref="L11">IF(AND('Sales Data'!O13:O114="Returned",'Sales Data'!N13:N113&gt;500),"Yes","No")</f>
        <v>No</v>
      </c>
    </row>
    <row r="12" spans="1:12" x14ac:dyDescent="0.25">
      <c r="J12" t="str">
        <v>Bulk</v>
      </c>
      <c r="K12" t="str" cm="1">
        <f t="array" ref="K12">_xlfn.IFS('Sales Data'!J13 &gt;= 4, "Large", 'Sales Data'!J13 &gt;= 2, "Medium",'Sales Data'!J13 &lt; 2,"Small")</f>
        <v>Large</v>
      </c>
      <c r="L12" t="str" cm="1">
        <f t="array" ref="L12">IF(AND('Sales Data'!O14:O115="Returned",'Sales Data'!N14:N114&gt;500),"Yes","No")</f>
        <v>No</v>
      </c>
    </row>
    <row r="13" spans="1:12" x14ac:dyDescent="0.25">
      <c r="J13" t="str">
        <v>Bulk</v>
      </c>
      <c r="K13" t="str" cm="1">
        <f t="array" ref="K13">_xlfn.IFS('Sales Data'!J14 &gt;= 4, "Large", 'Sales Data'!J14 &gt;= 2, "Medium",'Sales Data'!J14 &lt; 2,"Small")</f>
        <v>Large</v>
      </c>
      <c r="L13" t="str" cm="1">
        <f t="array" ref="L13">IF(AND('Sales Data'!O15:O116="Returned",'Sales Data'!N15:N115&gt;500),"Yes","No")</f>
        <v>No</v>
      </c>
    </row>
    <row r="14" spans="1:12" ht="15.75" customHeight="1" x14ac:dyDescent="0.25">
      <c r="A14" s="5" t="s">
        <v>321</v>
      </c>
      <c r="J14" t="str">
        <v>Bulk</v>
      </c>
      <c r="K14" t="str" cm="1">
        <f t="array" ref="K14">_xlfn.IFS('Sales Data'!J15 &gt;= 4, "Large", 'Sales Data'!J15 &gt;= 2, "Medium",'Sales Data'!J15 &lt; 2,"Small")</f>
        <v>Large</v>
      </c>
      <c r="L14" t="str" cm="1">
        <f t="array" ref="L14">IF(AND('Sales Data'!O16:O117="Returned",'Sales Data'!N16:N116&gt;500),"Yes","No")</f>
        <v>No</v>
      </c>
    </row>
    <row r="15" spans="1:12" ht="15" customHeight="1" x14ac:dyDescent="0.25">
      <c r="A15" s="15" t="s">
        <v>36</v>
      </c>
      <c r="B15" s="15" t="s">
        <v>322</v>
      </c>
      <c r="C15" s="15" t="s">
        <v>50</v>
      </c>
      <c r="D15" s="15" t="s">
        <v>46</v>
      </c>
      <c r="E15" s="15" t="s">
        <v>323</v>
      </c>
      <c r="F15" s="15" t="s">
        <v>324</v>
      </c>
      <c r="G15" s="15" t="s">
        <v>325</v>
      </c>
      <c r="J15" t="str">
        <v>Bulk</v>
      </c>
      <c r="K15" t="str" cm="1">
        <f t="array" ref="K15">_xlfn.IFS('Sales Data'!J16 &gt;= 4, "Large", 'Sales Data'!J16 &gt;= 2, "Medium",'Sales Data'!J16 &lt; 2,"Small")</f>
        <v>Large</v>
      </c>
      <c r="L15" t="str" cm="1">
        <f t="array" ref="L15">IF(AND('Sales Data'!O17:O118="Returned",'Sales Data'!N17:N117&gt;500),"Yes","No")</f>
        <v>No</v>
      </c>
    </row>
    <row r="16" spans="1:12" ht="15" customHeight="1" x14ac:dyDescent="0.25">
      <c r="A16" s="8" t="s">
        <v>201</v>
      </c>
      <c r="B16" s="16">
        <v>2500</v>
      </c>
      <c r="C16" s="8" t="s">
        <v>70</v>
      </c>
      <c r="D16" s="17">
        <v>0</v>
      </c>
      <c r="E16" s="18" t="str">
        <f>IF(B16&gt;500,"High Value","Low Value")</f>
        <v>High Value</v>
      </c>
      <c r="F16" s="18" t="str">
        <f>_xlfn.IFS(B16&gt;=2000,"Premium",B16&gt;=500,"Standard",B16&lt;500,"Budget")</f>
        <v>Premium</v>
      </c>
      <c r="G16" s="18" t="str">
        <f>IF(OR(C16="Returned",AND(C16="Processing",D16&gt;0.1)),"Yes","No")</f>
        <v>No</v>
      </c>
      <c r="I16" t="str">
        <f>IF(OR(C16="Returned",AND(C16="Processing",D16&gt;0.1)),"Y","N")</f>
        <v>N</v>
      </c>
      <c r="J16" t="str">
        <v>Bulk</v>
      </c>
      <c r="K16" t="str" cm="1">
        <f t="array" ref="K16">_xlfn.IFS('Sales Data'!J17 &gt;= 4, "Large", 'Sales Data'!J17 &gt;= 2, "Medium",'Sales Data'!J17 &lt; 2,"Small")</f>
        <v>Large</v>
      </c>
      <c r="L16" t="str" cm="1">
        <f t="array" ref="L16">IF(AND('Sales Data'!O18:O119="Returned",'Sales Data'!N18:N118&gt;500),"Yes","No")</f>
        <v>No</v>
      </c>
    </row>
    <row r="17" spans="1:12" ht="15" customHeight="1" x14ac:dyDescent="0.25">
      <c r="A17" s="8" t="s">
        <v>211</v>
      </c>
      <c r="B17" s="16">
        <v>150</v>
      </c>
      <c r="C17" s="8" t="s">
        <v>111</v>
      </c>
      <c r="D17" s="17">
        <v>0.1</v>
      </c>
      <c r="E17" s="18" t="str">
        <f t="shared" ref="E17:E23" si="0">IF(B17&gt;500,"High Value","Low Value")</f>
        <v>Low Value</v>
      </c>
      <c r="F17" s="18" t="str">
        <f t="shared" ref="F17:F23" si="1">_xlfn.IFS(B17&gt;=2000,"Premium",B17&gt;=500,"Standard",B17&lt;500,"Budget")</f>
        <v>Budget</v>
      </c>
      <c r="G17" s="18" t="str">
        <f t="shared" ref="G16:G22" si="2">IF(OR(C17="Returned",AND(C17="Processing",D17&gt;0.1)),"Yes","No")</f>
        <v>No</v>
      </c>
      <c r="I17" t="str">
        <f t="shared" ref="I17:I23" si="3">IF(OR(C17="Returned",AND(C17="Processing",D17&gt;0.1)),"Y","N")</f>
        <v>N</v>
      </c>
      <c r="J17" t="str">
        <v>Bulk</v>
      </c>
      <c r="K17" t="str" cm="1">
        <f t="array" ref="K17">_xlfn.IFS('Sales Data'!J18 &gt;= 4, "Large", 'Sales Data'!J18 &gt;= 2, "Medium",'Sales Data'!J18 &lt; 2,"Small")</f>
        <v>Large</v>
      </c>
      <c r="L17" t="str" cm="1">
        <f t="array" ref="L17">IF(AND('Sales Data'!O19:O120="Returned",'Sales Data'!N19:N119&gt;500),"Yes","No")</f>
        <v>No</v>
      </c>
    </row>
    <row r="18" spans="1:12" ht="15" customHeight="1" x14ac:dyDescent="0.25">
      <c r="A18" s="8" t="s">
        <v>63</v>
      </c>
      <c r="B18" s="16">
        <v>800</v>
      </c>
      <c r="C18" s="8" t="s">
        <v>83</v>
      </c>
      <c r="D18" s="17">
        <v>0.05</v>
      </c>
      <c r="E18" s="18" t="str">
        <f t="shared" si="0"/>
        <v>High Value</v>
      </c>
      <c r="F18" s="18" t="str">
        <f t="shared" si="1"/>
        <v>Standard</v>
      </c>
      <c r="G18" s="18" t="str">
        <f t="shared" si="2"/>
        <v>Yes</v>
      </c>
      <c r="I18" t="str">
        <f t="shared" si="3"/>
        <v>Y</v>
      </c>
      <c r="J18" t="str">
        <v>Bulk</v>
      </c>
      <c r="K18" t="str" cm="1">
        <f t="array" ref="K18">_xlfn.IFS('Sales Data'!J19 &gt;= 4, "Large", 'Sales Data'!J19 &gt;= 2, "Medium",'Sales Data'!J19 &lt; 2,"Small")</f>
        <v>Large</v>
      </c>
      <c r="L18" t="str" cm="1">
        <f t="array" ref="L18">IF(AND('Sales Data'!O20:O121="Returned",'Sales Data'!N20:N120&gt;500),"Yes","No")</f>
        <v>No</v>
      </c>
    </row>
    <row r="19" spans="1:12" ht="15" customHeight="1" x14ac:dyDescent="0.25">
      <c r="A19" s="8" t="s">
        <v>125</v>
      </c>
      <c r="B19" s="16">
        <v>45</v>
      </c>
      <c r="C19" s="8" t="s">
        <v>70</v>
      </c>
      <c r="D19" s="17">
        <v>0.2</v>
      </c>
      <c r="E19" s="18" t="str">
        <f t="shared" si="0"/>
        <v>Low Value</v>
      </c>
      <c r="F19" s="18" t="str">
        <f t="shared" si="1"/>
        <v>Budget</v>
      </c>
      <c r="G19" s="18" t="str">
        <f t="shared" si="2"/>
        <v>No</v>
      </c>
      <c r="I19" t="str">
        <f t="shared" si="3"/>
        <v>N</v>
      </c>
      <c r="J19" t="str">
        <v>Bulk</v>
      </c>
      <c r="K19" t="str" cm="1">
        <f t="array" ref="K19">_xlfn.IFS('Sales Data'!J20 &gt;= 4, "Large", 'Sales Data'!J20 &gt;= 2, "Medium",'Sales Data'!J20 &lt; 2,"Small")</f>
        <v>Large</v>
      </c>
      <c r="L19" t="str" cm="1">
        <f t="array" ref="L19">IF(AND('Sales Data'!O21:O122="Returned",'Sales Data'!N21:N121&gt;500),"Yes","No")</f>
        <v>No</v>
      </c>
    </row>
    <row r="20" spans="1:12" ht="15" customHeight="1" x14ac:dyDescent="0.25">
      <c r="A20" s="8" t="s">
        <v>91</v>
      </c>
      <c r="B20" s="16">
        <v>3500</v>
      </c>
      <c r="C20" s="8" t="s">
        <v>60</v>
      </c>
      <c r="D20" s="17">
        <v>0</v>
      </c>
      <c r="E20" s="18" t="str">
        <f t="shared" si="0"/>
        <v>High Value</v>
      </c>
      <c r="F20" s="18" t="str">
        <f t="shared" si="1"/>
        <v>Premium</v>
      </c>
      <c r="G20" s="18" t="str">
        <f t="shared" si="2"/>
        <v>No</v>
      </c>
      <c r="I20" t="str">
        <f t="shared" si="3"/>
        <v>N</v>
      </c>
      <c r="J20" t="str">
        <v>Bulk</v>
      </c>
      <c r="K20" t="str" cm="1">
        <f t="array" ref="K20">_xlfn.IFS('Sales Data'!J21 &gt;= 4, "Large", 'Sales Data'!J21 &gt;= 2, "Medium",'Sales Data'!J21 &lt; 2,"Small")</f>
        <v>Large</v>
      </c>
      <c r="L20" t="str" cm="1">
        <f t="array" ref="L20">IF(AND('Sales Data'!O22:O123="Returned",'Sales Data'!N22:N122&gt;500),"Yes","No")</f>
        <v>No</v>
      </c>
    </row>
    <row r="21" spans="1:12" ht="15" customHeight="1" x14ac:dyDescent="0.25">
      <c r="A21" s="8" t="s">
        <v>130</v>
      </c>
      <c r="B21" s="16">
        <v>500</v>
      </c>
      <c r="C21" s="8" t="s">
        <v>83</v>
      </c>
      <c r="D21" s="17">
        <v>0.15</v>
      </c>
      <c r="E21" s="18" t="str">
        <f t="shared" si="0"/>
        <v>Low Value</v>
      </c>
      <c r="F21" s="18" t="str">
        <f t="shared" si="1"/>
        <v>Standard</v>
      </c>
      <c r="G21" s="18" t="str">
        <f t="shared" si="2"/>
        <v>Yes</v>
      </c>
      <c r="I21" t="str">
        <f t="shared" si="3"/>
        <v>Y</v>
      </c>
      <c r="J21" t="str">
        <v>Bulk</v>
      </c>
      <c r="K21" t="str" cm="1">
        <f t="array" ref="K21">_xlfn.IFS('Sales Data'!J22 &gt;= 4, "Large", 'Sales Data'!J22 &gt;= 2, "Medium",'Sales Data'!J22 &lt; 2,"Small")</f>
        <v>Large</v>
      </c>
      <c r="L21" t="str" cm="1">
        <f t="array" ref="L21">IF(AND('Sales Data'!O23:O124="Returned",'Sales Data'!N23:N123&gt;500),"Yes","No")</f>
        <v>No</v>
      </c>
    </row>
    <row r="22" spans="1:12" ht="15" customHeight="1" x14ac:dyDescent="0.25">
      <c r="A22" s="8" t="s">
        <v>126</v>
      </c>
      <c r="B22" s="16">
        <v>1200</v>
      </c>
      <c r="C22" s="8" t="s">
        <v>70</v>
      </c>
      <c r="D22" s="17">
        <v>0</v>
      </c>
      <c r="E22" s="18" t="str">
        <f t="shared" si="0"/>
        <v>High Value</v>
      </c>
      <c r="F22" s="18" t="str">
        <f t="shared" si="1"/>
        <v>Standard</v>
      </c>
      <c r="G22" s="18" t="str">
        <f t="shared" si="2"/>
        <v>No</v>
      </c>
      <c r="I22" t="str">
        <f t="shared" si="3"/>
        <v>N</v>
      </c>
      <c r="J22" t="str">
        <v>Bulk</v>
      </c>
      <c r="K22" t="str" cm="1">
        <f t="array" ref="K22">_xlfn.IFS('Sales Data'!J23 &gt;= 4, "Large", 'Sales Data'!J23 &gt;= 2, "Medium",'Sales Data'!J23 &lt; 2,"Small")</f>
        <v>Large</v>
      </c>
      <c r="L22" t="str" cm="1">
        <f t="array" ref="L22">IF(AND('Sales Data'!O24:O125="Returned",'Sales Data'!N24:N124&gt;500),"Yes","No")</f>
        <v>No</v>
      </c>
    </row>
    <row r="23" spans="1:12" ht="15" customHeight="1" x14ac:dyDescent="0.25">
      <c r="A23" s="8" t="s">
        <v>151</v>
      </c>
      <c r="B23" s="16">
        <v>75</v>
      </c>
      <c r="C23" s="8" t="s">
        <v>111</v>
      </c>
      <c r="D23" s="17">
        <v>0.2</v>
      </c>
      <c r="E23" s="18" t="str">
        <f t="shared" si="0"/>
        <v>Low Value</v>
      </c>
      <c r="F23" s="18" t="str">
        <f t="shared" si="1"/>
        <v>Budget</v>
      </c>
      <c r="G23" s="18" t="str">
        <f>IF(OR(C23="Returned",AND(C23="Processing",D23&gt;0.1)),"Yes","No")</f>
        <v>Yes</v>
      </c>
      <c r="I23" t="str">
        <f t="shared" si="3"/>
        <v>Y</v>
      </c>
      <c r="J23" t="str">
        <v>Bulk</v>
      </c>
      <c r="K23" t="str" cm="1">
        <f t="array" ref="K23">_xlfn.IFS('Sales Data'!J24 &gt;= 4, "Large", 'Sales Data'!J24 &gt;= 2, "Medium",'Sales Data'!J24 &lt; 2,"Small")</f>
        <v>Large</v>
      </c>
      <c r="L23" t="str" cm="1">
        <f t="array" ref="L23">IF(AND('Sales Data'!O25:O126="Returned",'Sales Data'!N25:N125&gt;500),"Yes","No")</f>
        <v>No</v>
      </c>
    </row>
    <row r="24" spans="1:12" x14ac:dyDescent="0.25">
      <c r="J24" t="str">
        <v>Single</v>
      </c>
      <c r="K24" t="str" cm="1">
        <f t="array" ref="K24">_xlfn.IFS('Sales Data'!J25 &gt;= 4, "Large", 'Sales Data'!J25 &gt;= 2, "Medium",'Sales Data'!J25 &lt; 2,"Small")</f>
        <v>Large</v>
      </c>
      <c r="L24" t="str" cm="1">
        <f t="array" ref="L24">IF(AND('Sales Data'!O26:O127="Returned",'Sales Data'!N26:N126&gt;500),"Yes","No")</f>
        <v>No</v>
      </c>
    </row>
    <row r="25" spans="1:12" x14ac:dyDescent="0.25">
      <c r="J25" t="str">
        <v>Single</v>
      </c>
      <c r="K25" t="str" cm="1">
        <f t="array" ref="K25">_xlfn.IFS('Sales Data'!J26 &gt;= 4, "Large", 'Sales Data'!J26 &gt;= 2, "Medium",'Sales Data'!J26 &lt; 2,"Small")</f>
        <v>Medium</v>
      </c>
      <c r="L25" t="str" cm="1">
        <f t="array" ref="L25">IF(AND('Sales Data'!O27:O128="Returned",'Sales Data'!N27:N127&gt;500),"Yes","No")</f>
        <v>No</v>
      </c>
    </row>
    <row r="26" spans="1:12" ht="15.75" customHeight="1" x14ac:dyDescent="0.25">
      <c r="A26" s="5" t="s">
        <v>326</v>
      </c>
      <c r="J26" t="str">
        <v>Bulk</v>
      </c>
      <c r="K26" t="str" cm="1">
        <f t="array" ref="K26">_xlfn.IFS('Sales Data'!J27 &gt;= 4, "Large", 'Sales Data'!J27 &gt;= 2, "Medium",'Sales Data'!J27 &lt; 2,"Small")</f>
        <v>Medium</v>
      </c>
      <c r="L26" t="str" cm="1">
        <f t="array" ref="L26">IF(AND('Sales Data'!O28:O129="Returned",'Sales Data'!N28:N128&gt;500),"Yes","No")</f>
        <v>No</v>
      </c>
    </row>
    <row r="27" spans="1:12" ht="15" customHeight="1" x14ac:dyDescent="0.25">
      <c r="A27" s="61" t="s">
        <v>327</v>
      </c>
      <c r="B27" s="61"/>
      <c r="C27" s="61"/>
      <c r="D27" s="61"/>
      <c r="E27" s="61"/>
      <c r="F27" s="61"/>
      <c r="G27" s="61"/>
      <c r="H27" s="61"/>
      <c r="J27" t="str">
        <v>Single</v>
      </c>
      <c r="K27" t="str" cm="1">
        <f t="array" ref="K27">_xlfn.IFS('Sales Data'!J28 &gt;= 4, "Large", 'Sales Data'!J28 &gt;= 2, "Medium",'Sales Data'!J28 &lt; 2,"Small")</f>
        <v>Large</v>
      </c>
      <c r="L27" t="str" cm="1">
        <f t="array" ref="L27">IF(AND('Sales Data'!O29:O130="Returned",'Sales Data'!N29:N129&gt;500),"Yes","No")</f>
        <v>No</v>
      </c>
    </row>
    <row r="28" spans="1:12" ht="15" customHeight="1" x14ac:dyDescent="0.25">
      <c r="A28" s="61" t="s">
        <v>328</v>
      </c>
      <c r="B28" s="61"/>
      <c r="C28" s="61"/>
      <c r="D28" s="61"/>
      <c r="E28" s="61"/>
      <c r="F28" s="61"/>
      <c r="G28" s="61"/>
      <c r="H28" s="61"/>
      <c r="J28" t="str">
        <v>Single</v>
      </c>
      <c r="K28" t="str" cm="1">
        <f t="array" ref="K28">_xlfn.IFS('Sales Data'!J29 &gt;= 4, "Large", 'Sales Data'!J29 &gt;= 2, "Medium",'Sales Data'!J29 &lt; 2,"Small")</f>
        <v>Medium</v>
      </c>
      <c r="L28" t="str" cm="1">
        <f t="array" ref="L28">IF(AND('Sales Data'!O30:O131="Returned",'Sales Data'!N30:N130&gt;500),"Yes","No")</f>
        <v>No</v>
      </c>
    </row>
    <row r="29" spans="1:12" ht="15" customHeight="1" x14ac:dyDescent="0.25">
      <c r="A29" s="61" t="s">
        <v>329</v>
      </c>
      <c r="B29" s="61"/>
      <c r="C29" s="61"/>
      <c r="D29" s="61"/>
      <c r="E29" s="61"/>
      <c r="F29" s="61"/>
      <c r="G29" s="61"/>
      <c r="H29" s="61"/>
      <c r="J29" t="str">
        <v>Bulk</v>
      </c>
      <c r="K29" t="str" cm="1">
        <f t="array" ref="K29">_xlfn.IFS('Sales Data'!J30 &gt;= 4, "Large", 'Sales Data'!J30 &gt;= 2, "Medium",'Sales Data'!J30 &lt; 2,"Small")</f>
        <v>Medium</v>
      </c>
      <c r="L29" t="str" cm="1">
        <f t="array" ref="L29">IF(AND('Sales Data'!O31:O132="Returned",'Sales Data'!N31:N131&gt;500),"Yes","No")</f>
        <v>No</v>
      </c>
    </row>
    <row r="30" spans="1:12" x14ac:dyDescent="0.25">
      <c r="J30" t="str">
        <v>Bulk</v>
      </c>
      <c r="K30" t="str" cm="1">
        <f t="array" ref="K30">_xlfn.IFS('Sales Data'!J31 &gt;= 4, "Large", 'Sales Data'!J31 &gt;= 2, "Medium",'Sales Data'!J31 &lt; 2,"Small")</f>
        <v>Large</v>
      </c>
      <c r="L30" t="str" cm="1">
        <f t="array" ref="L30">IF(AND('Sales Data'!O32:O133="Returned",'Sales Data'!N32:N132&gt;500),"Yes","No")</f>
        <v>No</v>
      </c>
    </row>
    <row r="31" spans="1:12" x14ac:dyDescent="0.25">
      <c r="J31" t="str">
        <v>Single</v>
      </c>
      <c r="K31" t="str" cm="1">
        <f t="array" ref="K31">_xlfn.IFS('Sales Data'!J32 &gt;= 4, "Large", 'Sales Data'!J32 &gt;= 2, "Medium",'Sales Data'!J32 &lt; 2,"Small")</f>
        <v>Large</v>
      </c>
      <c r="L31" t="str" cm="1">
        <f t="array" ref="L31">IF(AND('Sales Data'!O33:O134="Returned",'Sales Data'!N33:N133&gt;500),"Yes","No")</f>
        <v>No</v>
      </c>
    </row>
    <row r="32" spans="1:12" ht="15.75" customHeight="1" x14ac:dyDescent="0.25">
      <c r="A32" s="5" t="s">
        <v>239</v>
      </c>
      <c r="J32" t="str">
        <v>Single</v>
      </c>
      <c r="K32" t="str" cm="1">
        <f t="array" ref="K32">_xlfn.IFS('Sales Data'!J33 &gt;= 4, "Large", 'Sales Data'!J33 &gt;= 2, "Medium",'Sales Data'!J33 &lt; 2,"Small")</f>
        <v>Medium</v>
      </c>
      <c r="L32" t="str" cm="1">
        <f t="array" ref="L32">IF(AND('Sales Data'!O34:O135="Returned",'Sales Data'!N34:N134&gt;500),"Yes","No")</f>
        <v>No</v>
      </c>
    </row>
    <row r="33" spans="1:12" ht="15" customHeight="1" x14ac:dyDescent="0.25">
      <c r="A33" s="56" t="s">
        <v>240</v>
      </c>
      <c r="B33" s="56"/>
      <c r="C33" s="56"/>
      <c r="D33" s="56"/>
      <c r="E33" s="56"/>
      <c r="F33" s="56"/>
      <c r="G33" s="56"/>
      <c r="H33" s="56"/>
      <c r="J33" t="str">
        <v>Bulk</v>
      </c>
      <c r="K33" t="str" cm="1">
        <f t="array" ref="K33">_xlfn.IFS('Sales Data'!J34 &gt;= 4, "Large", 'Sales Data'!J34 &gt;= 2, "Medium",'Sales Data'!J34 &lt; 2,"Small")</f>
        <v>Medium</v>
      </c>
      <c r="L33" t="str" cm="1">
        <f t="array" ref="L33">IF(AND('Sales Data'!O35:O136="Returned",'Sales Data'!N35:N135&gt;500),"Yes","No")</f>
        <v>No</v>
      </c>
    </row>
    <row r="34" spans="1:12" ht="15" customHeight="1" x14ac:dyDescent="0.25">
      <c r="A34" s="54" t="s">
        <v>330</v>
      </c>
      <c r="B34" s="54"/>
      <c r="C34" s="54"/>
      <c r="D34" s="54"/>
      <c r="E34" s="53" t="s">
        <v>600</v>
      </c>
      <c r="F34" s="53"/>
      <c r="G34" s="53"/>
      <c r="H34" s="53"/>
      <c r="J34" t="str">
        <v>Single</v>
      </c>
      <c r="K34" t="str" cm="1">
        <f t="array" ref="K34">_xlfn.IFS('Sales Data'!J35 &gt;= 4, "Large", 'Sales Data'!J35 &gt;= 2, "Medium",'Sales Data'!J35 &lt; 2,"Small")</f>
        <v>Large</v>
      </c>
      <c r="L34" t="str" cm="1">
        <f t="array" ref="L34">IF(AND('Sales Data'!O36:O137="Returned",'Sales Data'!N36:N136&gt;500),"Yes","No")</f>
        <v>No</v>
      </c>
    </row>
    <row r="35" spans="1:12" ht="15" customHeight="1" x14ac:dyDescent="0.25">
      <c r="A35" s="54" t="s">
        <v>331</v>
      </c>
      <c r="B35" s="54"/>
      <c r="C35" s="54"/>
      <c r="D35" s="54"/>
      <c r="E35" s="53" t="s">
        <v>599</v>
      </c>
      <c r="F35" s="53"/>
      <c r="G35" s="53"/>
      <c r="H35" s="53"/>
      <c r="J35" t="str">
        <v>Bulk</v>
      </c>
      <c r="K35" t="str" cm="1">
        <f t="array" ref="K35">_xlfn.IFS('Sales Data'!J36 &gt;= 4, "Large", 'Sales Data'!J36 &gt;= 2, "Medium",'Sales Data'!J36 &lt; 2,"Small")</f>
        <v>Medium</v>
      </c>
      <c r="L35" t="str" cm="1">
        <f t="array" ref="L35">IF(AND('Sales Data'!O37:O138="Returned",'Sales Data'!N37:N137&gt;500),"Yes","No")</f>
        <v>No</v>
      </c>
    </row>
    <row r="36" spans="1:12" ht="15" customHeight="1" x14ac:dyDescent="0.25">
      <c r="A36" s="54" t="s">
        <v>332</v>
      </c>
      <c r="B36" s="54"/>
      <c r="C36" s="54"/>
      <c r="D36" s="54"/>
      <c r="E36" s="53" t="s">
        <v>598</v>
      </c>
      <c r="F36" s="53"/>
      <c r="G36" s="53"/>
      <c r="H36" s="53"/>
      <c r="J36" t="str">
        <v>Single</v>
      </c>
      <c r="K36" t="str" cm="1">
        <f t="array" ref="K36">_xlfn.IFS('Sales Data'!J37 &gt;= 4, "Large", 'Sales Data'!J37 &gt;= 2, "Medium",'Sales Data'!J37 &lt; 2,"Small")</f>
        <v>Large</v>
      </c>
      <c r="L36" t="str" cm="1">
        <f t="array" ref="L36">IF(AND('Sales Data'!O38:O139="Returned",'Sales Data'!N38:N138&gt;500),"Yes","No")</f>
        <v>No</v>
      </c>
    </row>
    <row r="37" spans="1:12" x14ac:dyDescent="0.25">
      <c r="J37" t="str">
        <v>Single</v>
      </c>
      <c r="K37" t="str" cm="1">
        <f t="array" ref="K37">_xlfn.IFS('Sales Data'!J38 &gt;= 4, "Large", 'Sales Data'!J38 &gt;= 2, "Medium",'Sales Data'!J38 &lt; 2,"Small")</f>
        <v>Small</v>
      </c>
      <c r="L37" t="str" cm="1">
        <f t="array" ref="L37">IF(AND('Sales Data'!O39:O140="Returned",'Sales Data'!N39:N139&gt;500),"Yes","No")</f>
        <v>No</v>
      </c>
    </row>
    <row r="38" spans="1:12" x14ac:dyDescent="0.25">
      <c r="J38" t="str">
        <v>Single</v>
      </c>
      <c r="K38" t="str" cm="1">
        <f t="array" ref="K38">_xlfn.IFS('Sales Data'!J39 &gt;= 4, "Large", 'Sales Data'!J39 &gt;= 2, "Medium",'Sales Data'!J39 &lt; 2,"Small")</f>
        <v>Small</v>
      </c>
      <c r="L38" t="str" cm="1">
        <f t="array" ref="L38">IF(AND('Sales Data'!O40:O141="Returned",'Sales Data'!N40:N140&gt;500),"Yes","No")</f>
        <v>No</v>
      </c>
    </row>
    <row r="39" spans="1:12" x14ac:dyDescent="0.25">
      <c r="J39" t="str">
        <v>Single</v>
      </c>
      <c r="K39" t="str" cm="1">
        <f t="array" ref="K39">_xlfn.IFS('Sales Data'!J40 &gt;= 4, "Large", 'Sales Data'!J40 &gt;= 2, "Medium",'Sales Data'!J40 &lt; 2,"Small")</f>
        <v>Small</v>
      </c>
      <c r="L39" t="str" cm="1">
        <f t="array" ref="L39">IF(AND('Sales Data'!O41:O142="Returned",'Sales Data'!N41:N141&gt;500),"Yes","No")</f>
        <v>No</v>
      </c>
    </row>
    <row r="40" spans="1:12" x14ac:dyDescent="0.25">
      <c r="J40" t="str">
        <v>Single</v>
      </c>
      <c r="K40" t="str" cm="1">
        <f t="array" ref="K40">_xlfn.IFS('Sales Data'!J41 &gt;= 4, "Large", 'Sales Data'!J41 &gt;= 2, "Medium",'Sales Data'!J41 &lt; 2,"Small")</f>
        <v>Small</v>
      </c>
      <c r="L40" t="str" cm="1">
        <f t="array" ref="L40">IF(AND('Sales Data'!O42:O143="Returned",'Sales Data'!N42:N142&gt;500),"Yes","No")</f>
        <v>No</v>
      </c>
    </row>
    <row r="41" spans="1:12" x14ac:dyDescent="0.25">
      <c r="J41" t="str">
        <v>Single</v>
      </c>
      <c r="K41" t="str" cm="1">
        <f t="array" ref="K41">_xlfn.IFS('Sales Data'!J42 &gt;= 4, "Large", 'Sales Data'!J42 &gt;= 2, "Medium",'Sales Data'!J42 &lt; 2,"Small")</f>
        <v>Medium</v>
      </c>
      <c r="L41" t="str" cm="1">
        <f t="array" ref="L41">IF(AND('Sales Data'!O43:O144="Returned",'Sales Data'!N43:N143&gt;500),"Yes","No")</f>
        <v>No</v>
      </c>
    </row>
    <row r="42" spans="1:12" x14ac:dyDescent="0.25">
      <c r="J42" t="str">
        <v>Single</v>
      </c>
      <c r="K42" t="str" cm="1">
        <f t="array" ref="K42">_xlfn.IFS('Sales Data'!J43 &gt;= 4, "Large", 'Sales Data'!J43 &gt;= 2, "Medium",'Sales Data'!J43 &lt; 2,"Small")</f>
        <v>Medium</v>
      </c>
      <c r="L42" t="str" cm="1">
        <f t="array" ref="L42">IF(AND('Sales Data'!O44:O145="Returned",'Sales Data'!N44:N144&gt;500),"Yes","No")</f>
        <v>No</v>
      </c>
    </row>
    <row r="43" spans="1:12" x14ac:dyDescent="0.25">
      <c r="J43" t="str">
        <v>Bulk</v>
      </c>
      <c r="K43" t="str" cm="1">
        <f t="array" ref="K43">_xlfn.IFS('Sales Data'!J44 &gt;= 4, "Large", 'Sales Data'!J44 &gt;= 2, "Medium",'Sales Data'!J44 &lt; 2,"Small")</f>
        <v>Medium</v>
      </c>
      <c r="L43" t="str" cm="1">
        <f t="array" ref="L43">IF(AND('Sales Data'!O45:O146="Returned",'Sales Data'!N45:N145&gt;500),"Yes","No")</f>
        <v>No</v>
      </c>
    </row>
    <row r="44" spans="1:12" x14ac:dyDescent="0.25">
      <c r="J44" t="str">
        <v>Single</v>
      </c>
      <c r="K44" t="str" cm="1">
        <f t="array" ref="K44">_xlfn.IFS('Sales Data'!J45 &gt;= 4, "Large", 'Sales Data'!J45 &gt;= 2, "Medium",'Sales Data'!J45 &lt; 2,"Small")</f>
        <v>Large</v>
      </c>
      <c r="L44" t="str" cm="1">
        <f t="array" ref="L44">IF(AND('Sales Data'!O46:O147="Returned",'Sales Data'!N46:N146&gt;500),"Yes","No")</f>
        <v>No</v>
      </c>
    </row>
    <row r="45" spans="1:12" x14ac:dyDescent="0.25">
      <c r="J45" t="str">
        <v>Single</v>
      </c>
      <c r="K45" t="str" cm="1">
        <f t="array" ref="K45">_xlfn.IFS('Sales Data'!J46 &gt;= 4, "Large", 'Sales Data'!J46 &gt;= 2, "Medium",'Sales Data'!J46 &lt; 2,"Small")</f>
        <v>Medium</v>
      </c>
      <c r="L45" t="str" cm="1">
        <f t="array" ref="L45">IF(AND('Sales Data'!O47:O148="Returned",'Sales Data'!N47:N147&gt;500),"Yes","No")</f>
        <v>No</v>
      </c>
    </row>
    <row r="46" spans="1:12" x14ac:dyDescent="0.25">
      <c r="J46" t="str">
        <v>Single</v>
      </c>
      <c r="K46" t="str" cm="1">
        <f t="array" ref="K46">_xlfn.IFS('Sales Data'!J47 &gt;= 4, "Large", 'Sales Data'!J47 &gt;= 2, "Medium",'Sales Data'!J47 &lt; 2,"Small")</f>
        <v>Medium</v>
      </c>
      <c r="L46" t="str" cm="1">
        <f t="array" ref="L46">IF(AND('Sales Data'!O48:O149="Returned",'Sales Data'!N48:N148&gt;500),"Yes","No")</f>
        <v>No</v>
      </c>
    </row>
    <row r="47" spans="1:12" x14ac:dyDescent="0.25">
      <c r="J47" t="str">
        <v>Single</v>
      </c>
      <c r="K47" t="str" cm="1">
        <f t="array" ref="K47">_xlfn.IFS('Sales Data'!J48 &gt;= 4, "Large", 'Sales Data'!J48 &gt;= 2, "Medium",'Sales Data'!J48 &lt; 2,"Small")</f>
        <v>Medium</v>
      </c>
      <c r="L47" t="str" cm="1">
        <f t="array" ref="L47">IF(AND('Sales Data'!O49:O150="Returned",'Sales Data'!N49:N149&gt;500),"Yes","No")</f>
        <v>No</v>
      </c>
    </row>
    <row r="48" spans="1:12" x14ac:dyDescent="0.25">
      <c r="J48" t="str">
        <v>Bulk</v>
      </c>
      <c r="K48" t="str" cm="1">
        <f t="array" ref="K48">_xlfn.IFS('Sales Data'!J49 &gt;= 4, "Large", 'Sales Data'!J49 &gt;= 2, "Medium",'Sales Data'!J49 &lt; 2,"Small")</f>
        <v>Small</v>
      </c>
      <c r="L48" t="str" cm="1">
        <f t="array" ref="L48">IF(AND('Sales Data'!O50:O151="Returned",'Sales Data'!N50:N150&gt;500),"Yes","No")</f>
        <v>No</v>
      </c>
    </row>
    <row r="49" spans="10:12" x14ac:dyDescent="0.25">
      <c r="J49" t="str">
        <v>Single</v>
      </c>
      <c r="K49" t="str" cm="1">
        <f t="array" ref="K49">_xlfn.IFS('Sales Data'!J50 &gt;= 4, "Large", 'Sales Data'!J50 &gt;= 2, "Medium",'Sales Data'!J50 &lt; 2,"Small")</f>
        <v>Large</v>
      </c>
      <c r="L49" t="str" cm="1">
        <f t="array" ref="L49">IF(AND('Sales Data'!O51:O152="Returned",'Sales Data'!N51:N151&gt;500),"Yes","No")</f>
        <v>No</v>
      </c>
    </row>
    <row r="50" spans="10:12" x14ac:dyDescent="0.25">
      <c r="J50" t="str">
        <v>Bulk</v>
      </c>
      <c r="K50" t="str" cm="1">
        <f t="array" ref="K50">_xlfn.IFS('Sales Data'!J51 &gt;= 4, "Large", 'Sales Data'!J51 &gt;= 2, "Medium",'Sales Data'!J51 &lt; 2,"Small")</f>
        <v>Small</v>
      </c>
      <c r="L50" t="str" cm="1">
        <f t="array" ref="L50">IF(AND('Sales Data'!O52:O153="Returned",'Sales Data'!N52:N152&gt;500),"Yes","No")</f>
        <v>No</v>
      </c>
    </row>
    <row r="51" spans="10:12" x14ac:dyDescent="0.25">
      <c r="J51" t="str">
        <v>Single</v>
      </c>
      <c r="K51" t="str" cm="1">
        <f t="array" ref="K51">_xlfn.IFS('Sales Data'!J52 &gt;= 4, "Large", 'Sales Data'!J52 &gt;= 2, "Medium",'Sales Data'!J52 &lt; 2,"Small")</f>
        <v>Large</v>
      </c>
      <c r="L51" t="str" cm="1">
        <f t="array" ref="L51">IF(AND('Sales Data'!O53:O154="Returned",'Sales Data'!N53:N153&gt;500),"Yes","No")</f>
        <v>No</v>
      </c>
    </row>
    <row r="52" spans="10:12" x14ac:dyDescent="0.25">
      <c r="J52" t="str">
        <v>Bulk</v>
      </c>
      <c r="K52" t="str" cm="1">
        <f t="array" ref="K52">_xlfn.IFS('Sales Data'!J53 &gt;= 4, "Large", 'Sales Data'!J53 &gt;= 2, "Medium",'Sales Data'!J53 &lt; 2,"Small")</f>
        <v>Medium</v>
      </c>
      <c r="L52" t="str" cm="1">
        <f t="array" ref="L52">IF(AND('Sales Data'!O54:O155="Returned",'Sales Data'!N54:N154&gt;500),"Yes","No")</f>
        <v>No</v>
      </c>
    </row>
    <row r="53" spans="10:12" x14ac:dyDescent="0.25">
      <c r="J53" t="str">
        <v>Single</v>
      </c>
      <c r="K53" t="str" cm="1">
        <f t="array" ref="K53">_xlfn.IFS('Sales Data'!J54 &gt;= 4, "Large", 'Sales Data'!J54 &gt;= 2, "Medium",'Sales Data'!J54 &lt; 2,"Small")</f>
        <v>Large</v>
      </c>
      <c r="L53" t="str" cm="1">
        <f t="array" ref="L53">IF(AND('Sales Data'!O55:O156="Returned",'Sales Data'!N55:N155&gt;500),"Yes","No")</f>
        <v>No</v>
      </c>
    </row>
    <row r="54" spans="10:12" x14ac:dyDescent="0.25">
      <c r="J54" t="str">
        <v>Single</v>
      </c>
      <c r="K54" t="str" cm="1">
        <f t="array" ref="K54">_xlfn.IFS('Sales Data'!J55 &gt;= 4, "Large", 'Sales Data'!J55 &gt;= 2, "Medium",'Sales Data'!J55 &lt; 2,"Small")</f>
        <v>Medium</v>
      </c>
      <c r="L54" t="str" cm="1">
        <f t="array" ref="L54">IF(AND('Sales Data'!O56:O157="Returned",'Sales Data'!N56:N156&gt;500),"Yes","No")</f>
        <v>No</v>
      </c>
    </row>
    <row r="55" spans="10:12" x14ac:dyDescent="0.25">
      <c r="J55" t="str">
        <v>Single</v>
      </c>
      <c r="K55" t="str" cm="1">
        <f t="array" ref="K55">_xlfn.IFS('Sales Data'!J56 &gt;= 4, "Large", 'Sales Data'!J56 &gt;= 2, "Medium",'Sales Data'!J56 &lt; 2,"Small")</f>
        <v>Medium</v>
      </c>
      <c r="L55" t="str" cm="1">
        <f t="array" ref="L55">IF(AND('Sales Data'!O57:O158="Returned",'Sales Data'!N57:N157&gt;500),"Yes","No")</f>
        <v>No</v>
      </c>
    </row>
    <row r="56" spans="10:12" x14ac:dyDescent="0.25">
      <c r="J56" t="str">
        <v>Bulk</v>
      </c>
      <c r="K56" t="str" cm="1">
        <f t="array" ref="K56">_xlfn.IFS('Sales Data'!J57 &gt;= 4, "Large", 'Sales Data'!J57 &gt;= 2, "Medium",'Sales Data'!J57 &lt; 2,"Small")</f>
        <v>Medium</v>
      </c>
      <c r="L56" t="str" cm="1">
        <f t="array" ref="L56">IF(AND('Sales Data'!O58:O159="Returned",'Sales Data'!N58:N158&gt;500),"Yes","No")</f>
        <v>No</v>
      </c>
    </row>
    <row r="57" spans="10:12" x14ac:dyDescent="0.25">
      <c r="J57" t="str">
        <v>Single</v>
      </c>
      <c r="K57" t="str" cm="1">
        <f t="array" ref="K57">_xlfn.IFS('Sales Data'!J58 &gt;= 4, "Large", 'Sales Data'!J58 &gt;= 2, "Medium",'Sales Data'!J58 &lt; 2,"Small")</f>
        <v>Large</v>
      </c>
      <c r="L57" t="str" cm="1">
        <f t="array" ref="L57">IF(AND('Sales Data'!O59:O160="Returned",'Sales Data'!N59:N159&gt;500),"Yes","No")</f>
        <v>No</v>
      </c>
    </row>
    <row r="58" spans="10:12" x14ac:dyDescent="0.25">
      <c r="J58" t="str">
        <v>Bulk</v>
      </c>
      <c r="K58" t="str" cm="1">
        <f t="array" ref="K58">_xlfn.IFS('Sales Data'!J59 &gt;= 4, "Large", 'Sales Data'!J59 &gt;= 2, "Medium",'Sales Data'!J59 &lt; 2,"Small")</f>
        <v>Medium</v>
      </c>
      <c r="L58" t="str" cm="1">
        <f t="array" ref="L58">IF(AND('Sales Data'!O60:O161="Returned",'Sales Data'!N60:N160&gt;500),"Yes","No")</f>
        <v>No</v>
      </c>
    </row>
    <row r="59" spans="10:12" x14ac:dyDescent="0.25">
      <c r="J59" t="str">
        <v>Single</v>
      </c>
      <c r="K59" t="str" cm="1">
        <f t="array" ref="K59">_xlfn.IFS('Sales Data'!J60 &gt;= 4, "Large", 'Sales Data'!J60 &gt;= 2, "Medium",'Sales Data'!J60 &lt; 2,"Small")</f>
        <v>Large</v>
      </c>
      <c r="L59" t="str" cm="1">
        <f t="array" ref="L59">IF(AND('Sales Data'!O61:O162="Returned",'Sales Data'!N61:N161&gt;500),"Yes","No")</f>
        <v>No</v>
      </c>
    </row>
    <row r="60" spans="10:12" x14ac:dyDescent="0.25">
      <c r="J60" t="str">
        <v>Single</v>
      </c>
      <c r="K60" t="str" cm="1">
        <f t="array" ref="K60">_xlfn.IFS('Sales Data'!J61 &gt;= 4, "Large", 'Sales Data'!J61 &gt;= 2, "Medium",'Sales Data'!J61 &lt; 2,"Small")</f>
        <v>Medium</v>
      </c>
      <c r="L60" t="str" cm="1">
        <f t="array" ref="L60">IF(AND('Sales Data'!O62:O163="Returned",'Sales Data'!N62:N162&gt;500),"Yes","No")</f>
        <v>No</v>
      </c>
    </row>
    <row r="61" spans="10:12" x14ac:dyDescent="0.25">
      <c r="J61" t="str">
        <v>Bulk</v>
      </c>
      <c r="K61" t="str" cm="1">
        <f t="array" ref="K61">_xlfn.IFS('Sales Data'!J62 &gt;= 4, "Large", 'Sales Data'!J62 &gt;= 2, "Medium",'Sales Data'!J62 &lt; 2,"Small")</f>
        <v>Medium</v>
      </c>
      <c r="L61" t="str" cm="1">
        <f t="array" ref="L61">IF(AND('Sales Data'!O63:O164="Returned",'Sales Data'!N63:N163&gt;500),"Yes","No")</f>
        <v>No</v>
      </c>
    </row>
    <row r="62" spans="10:12" x14ac:dyDescent="0.25">
      <c r="J62" t="str">
        <v>Single</v>
      </c>
      <c r="K62" t="str" cm="1">
        <f t="array" ref="K62">_xlfn.IFS('Sales Data'!J63 &gt;= 4, "Large", 'Sales Data'!J63 &gt;= 2, "Medium",'Sales Data'!J63 &lt; 2,"Small")</f>
        <v>Large</v>
      </c>
      <c r="L62" t="str" cm="1">
        <f t="array" ref="L62">IF(AND('Sales Data'!O64:O165="Returned",'Sales Data'!N64:N164&gt;500),"Yes","No")</f>
        <v>No</v>
      </c>
    </row>
    <row r="63" spans="10:12" x14ac:dyDescent="0.25">
      <c r="J63" t="str">
        <v>Bulk</v>
      </c>
      <c r="K63" t="str" cm="1">
        <f t="array" ref="K63">_xlfn.IFS('Sales Data'!J64 &gt;= 4, "Large", 'Sales Data'!J64 &gt;= 2, "Medium",'Sales Data'!J64 &lt; 2,"Small")</f>
        <v>Medium</v>
      </c>
      <c r="L63" t="str" cm="1">
        <f t="array" ref="L63">IF(AND('Sales Data'!O65:O166="Returned",'Sales Data'!N65:N165&gt;500),"Yes","No")</f>
        <v>No</v>
      </c>
    </row>
    <row r="64" spans="10:12" x14ac:dyDescent="0.25">
      <c r="J64" t="str">
        <v>Bulk</v>
      </c>
      <c r="K64" t="str" cm="1">
        <f t="array" ref="K64">_xlfn.IFS('Sales Data'!J65 &gt;= 4, "Large", 'Sales Data'!J65 &gt;= 2, "Medium",'Sales Data'!J65 &lt; 2,"Small")</f>
        <v>Large</v>
      </c>
      <c r="L64" t="str" cm="1">
        <f t="array" ref="L64">IF(AND('Sales Data'!O66:O167="Returned",'Sales Data'!N66:N166&gt;500),"Yes","No")</f>
        <v>No</v>
      </c>
    </row>
    <row r="65" spans="10:12" x14ac:dyDescent="0.25">
      <c r="J65" t="str">
        <v>Bulk</v>
      </c>
      <c r="K65" t="str" cm="1">
        <f t="array" ref="K65">_xlfn.IFS('Sales Data'!J66 &gt;= 4, "Large", 'Sales Data'!J66 &gt;= 2, "Medium",'Sales Data'!J66 &lt; 2,"Small")</f>
        <v>Large</v>
      </c>
      <c r="L65" t="str" cm="1">
        <f t="array" ref="L65">IF(AND('Sales Data'!O67:O168="Returned",'Sales Data'!N67:N167&gt;500),"Yes","No")</f>
        <v>No</v>
      </c>
    </row>
    <row r="66" spans="10:12" x14ac:dyDescent="0.25">
      <c r="J66" t="str">
        <v>Bulk</v>
      </c>
      <c r="K66" t="str" cm="1">
        <f t="array" ref="K66">_xlfn.IFS('Sales Data'!J67 &gt;= 4, "Large", 'Sales Data'!J67 &gt;= 2, "Medium",'Sales Data'!J67 &lt; 2,"Small")</f>
        <v>Large</v>
      </c>
      <c r="L66" t="str" cm="1">
        <f t="array" ref="L66">IF(AND('Sales Data'!O68:O169="Returned",'Sales Data'!N68:N168&gt;500),"Yes","No")</f>
        <v>No</v>
      </c>
    </row>
    <row r="67" spans="10:12" x14ac:dyDescent="0.25">
      <c r="J67" t="str">
        <v>Single</v>
      </c>
      <c r="K67" t="str" cm="1">
        <f t="array" ref="K67">_xlfn.IFS('Sales Data'!J68 &gt;= 4, "Large", 'Sales Data'!J68 &gt;= 2, "Medium",'Sales Data'!J68 &lt; 2,"Small")</f>
        <v>Large</v>
      </c>
      <c r="L67" t="str" cm="1">
        <f t="array" ref="L67">IF(AND('Sales Data'!O69:O170="Returned",'Sales Data'!N69:N169&gt;500),"Yes","No")</f>
        <v>No</v>
      </c>
    </row>
    <row r="68" spans="10:12" x14ac:dyDescent="0.25">
      <c r="J68" t="str">
        <v>Single</v>
      </c>
      <c r="K68" t="str" cm="1">
        <f t="array" ref="K68">_xlfn.IFS('Sales Data'!J69 &gt;= 4, "Large", 'Sales Data'!J69 &gt;= 2, "Medium",'Sales Data'!J69 &lt; 2,"Small")</f>
        <v>Medium</v>
      </c>
      <c r="L68" t="str" cm="1">
        <f t="array" ref="L68">IF(AND('Sales Data'!O70:O171="Returned",'Sales Data'!N70:N170&gt;500),"Yes","No")</f>
        <v>No</v>
      </c>
    </row>
    <row r="69" spans="10:12" x14ac:dyDescent="0.25">
      <c r="J69" t="str">
        <v>Bulk</v>
      </c>
      <c r="K69" t="str" cm="1">
        <f t="array" ref="K69">_xlfn.IFS('Sales Data'!J70 &gt;= 4, "Large", 'Sales Data'!J70 &gt;= 2, "Medium",'Sales Data'!J70 &lt; 2,"Small")</f>
        <v>Medium</v>
      </c>
      <c r="L69" t="str" cm="1">
        <f t="array" ref="L69">IF(AND('Sales Data'!O71:O172="Returned",'Sales Data'!N71:N171&gt;500),"Yes","No")</f>
        <v>No</v>
      </c>
    </row>
    <row r="70" spans="10:12" x14ac:dyDescent="0.25">
      <c r="J70" t="str">
        <v>Bulk</v>
      </c>
      <c r="K70" t="str" cm="1">
        <f t="array" ref="K70">_xlfn.IFS('Sales Data'!J71 &gt;= 4, "Large", 'Sales Data'!J71 &gt;= 2, "Medium",'Sales Data'!J71 &lt; 2,"Small")</f>
        <v>Large</v>
      </c>
      <c r="L70" t="str" cm="1">
        <f t="array" ref="L70">IF(AND('Sales Data'!O72:O173="Returned",'Sales Data'!N72:N172&gt;500),"Yes","No")</f>
        <v>No</v>
      </c>
    </row>
    <row r="71" spans="10:12" x14ac:dyDescent="0.25">
      <c r="J71" t="str">
        <v>Single</v>
      </c>
      <c r="K71" t="str" cm="1">
        <f t="array" ref="K71">_xlfn.IFS('Sales Data'!J72 &gt;= 4, "Large", 'Sales Data'!J72 &gt;= 2, "Medium",'Sales Data'!J72 &lt; 2,"Small")</f>
        <v>Large</v>
      </c>
      <c r="L71" t="str" cm="1">
        <f t="array" ref="L71">IF(AND('Sales Data'!O73:O174="Returned",'Sales Data'!N73:N173&gt;500),"Yes","No")</f>
        <v>No</v>
      </c>
    </row>
    <row r="72" spans="10:12" x14ac:dyDescent="0.25">
      <c r="J72" t="str">
        <v>Single</v>
      </c>
      <c r="K72" t="str" cm="1">
        <f t="array" ref="K72">_xlfn.IFS('Sales Data'!J73 &gt;= 4, "Large", 'Sales Data'!J73 &gt;= 2, "Medium",'Sales Data'!J73 &lt; 2,"Small")</f>
        <v>Small</v>
      </c>
      <c r="L72" t="str" cm="1">
        <f t="array" ref="L72">IF(AND('Sales Data'!O74:O175="Returned",'Sales Data'!N74:N174&gt;500),"Yes","No")</f>
        <v>No</v>
      </c>
    </row>
    <row r="73" spans="10:12" x14ac:dyDescent="0.25">
      <c r="J73" t="str">
        <v>Bulk</v>
      </c>
      <c r="K73" t="str" cm="1">
        <f t="array" ref="K73">_xlfn.IFS('Sales Data'!J74 &gt;= 4, "Large", 'Sales Data'!J74 &gt;= 2, "Medium",'Sales Data'!J74 &lt; 2,"Small")</f>
        <v>Small</v>
      </c>
      <c r="L73" t="str" cm="1">
        <f t="array" ref="L73">IF(AND('Sales Data'!O75:O176="Returned",'Sales Data'!N75:N175&gt;500),"Yes","No")</f>
        <v>No</v>
      </c>
    </row>
    <row r="74" spans="10:12" x14ac:dyDescent="0.25">
      <c r="J74" t="str">
        <v>Single</v>
      </c>
      <c r="K74" t="str" cm="1">
        <f t="array" ref="K74">_xlfn.IFS('Sales Data'!J75 &gt;= 4, "Large", 'Sales Data'!J75 &gt;= 2, "Medium",'Sales Data'!J75 &lt; 2,"Small")</f>
        <v>Large</v>
      </c>
      <c r="L74" t="str" cm="1">
        <f t="array" ref="L74">IF(AND('Sales Data'!O76:O177="Returned",'Sales Data'!N76:N176&gt;500),"Yes","No")</f>
        <v>No</v>
      </c>
    </row>
    <row r="75" spans="10:12" x14ac:dyDescent="0.25">
      <c r="J75" t="str">
        <v>Single</v>
      </c>
      <c r="K75" t="str" cm="1">
        <f t="array" ref="K75">_xlfn.IFS('Sales Data'!J76 &gt;= 4, "Large", 'Sales Data'!J76 &gt;= 2, "Medium",'Sales Data'!J76 &lt; 2,"Small")</f>
        <v>Medium</v>
      </c>
      <c r="L75" t="str" cm="1">
        <f t="array" ref="L75">IF(AND('Sales Data'!O77:O178="Returned",'Sales Data'!N77:N177&gt;500),"Yes","No")</f>
        <v>No</v>
      </c>
    </row>
    <row r="76" spans="10:12" x14ac:dyDescent="0.25">
      <c r="J76" t="str">
        <v>Single</v>
      </c>
      <c r="K76" t="str" cm="1">
        <f t="array" ref="K76">_xlfn.IFS('Sales Data'!J77 &gt;= 4, "Large", 'Sales Data'!J77 &gt;= 2, "Medium",'Sales Data'!J77 &lt; 2,"Small")</f>
        <v>Medium</v>
      </c>
      <c r="L76" t="str" cm="1">
        <f t="array" ref="L76">IF(AND('Sales Data'!O78:O179="Returned",'Sales Data'!N78:N178&gt;500),"Yes","No")</f>
        <v>No</v>
      </c>
    </row>
    <row r="77" spans="10:12" x14ac:dyDescent="0.25">
      <c r="J77" t="str">
        <v>Single</v>
      </c>
      <c r="K77" t="str" cm="1">
        <f t="array" ref="K77">_xlfn.IFS('Sales Data'!J78 &gt;= 4, "Large", 'Sales Data'!J78 &gt;= 2, "Medium",'Sales Data'!J78 &lt; 2,"Small")</f>
        <v>Medium</v>
      </c>
      <c r="L77" t="str" cm="1">
        <f t="array" ref="L77">IF(AND('Sales Data'!O79:O180="Returned",'Sales Data'!N79:N179&gt;500),"Yes","No")</f>
        <v>No</v>
      </c>
    </row>
    <row r="78" spans="10:12" x14ac:dyDescent="0.25">
      <c r="J78" t="str">
        <v>Single</v>
      </c>
      <c r="K78" t="str" cm="1">
        <f t="array" ref="K78">_xlfn.IFS('Sales Data'!J79 &gt;= 4, "Large", 'Sales Data'!J79 &gt;= 2, "Medium",'Sales Data'!J79 &lt; 2,"Small")</f>
        <v>Medium</v>
      </c>
      <c r="L78" t="str" cm="1">
        <f t="array" ref="L78">IF(AND('Sales Data'!O80:O181="Returned",'Sales Data'!N80:N180&gt;500),"Yes","No")</f>
        <v>No</v>
      </c>
    </row>
    <row r="79" spans="10:12" x14ac:dyDescent="0.25">
      <c r="J79" t="str">
        <v>Single</v>
      </c>
      <c r="K79" t="str" cm="1">
        <f t="array" ref="K79">_xlfn.IFS('Sales Data'!J80 &gt;= 4, "Large", 'Sales Data'!J80 &gt;= 2, "Medium",'Sales Data'!J80 &lt; 2,"Small")</f>
        <v>Medium</v>
      </c>
      <c r="L79" t="str" cm="1">
        <f t="array" ref="L79">IF(AND('Sales Data'!O81:O182="Returned",'Sales Data'!N81:N181&gt;500),"Yes","No")</f>
        <v>No</v>
      </c>
    </row>
    <row r="80" spans="10:12" x14ac:dyDescent="0.25">
      <c r="J80" t="str">
        <v>Single</v>
      </c>
      <c r="K80" t="str" cm="1">
        <f t="array" ref="K80">_xlfn.IFS('Sales Data'!J81 &gt;= 4, "Large", 'Sales Data'!J81 &gt;= 2, "Medium",'Sales Data'!J81 &lt; 2,"Small")</f>
        <v>Small</v>
      </c>
      <c r="L80" t="str" cm="1">
        <f t="array" ref="L80">IF(AND('Sales Data'!O82:O183="Returned",'Sales Data'!N82:N182&gt;500),"Yes","No")</f>
        <v>No</v>
      </c>
    </row>
    <row r="81" spans="10:12" x14ac:dyDescent="0.25">
      <c r="J81" t="str">
        <v>Bulk</v>
      </c>
      <c r="K81" t="str" cm="1">
        <f t="array" ref="K81">_xlfn.IFS('Sales Data'!J82 &gt;= 4, "Large", 'Sales Data'!J82 &gt;= 2, "Medium",'Sales Data'!J82 &lt; 2,"Small")</f>
        <v>Small</v>
      </c>
      <c r="L81" t="str" cm="1">
        <f t="array" ref="L81">IF(AND('Sales Data'!O83:O184="Returned",'Sales Data'!N83:N183&gt;500),"Yes","No")</f>
        <v>No</v>
      </c>
    </row>
    <row r="82" spans="10:12" x14ac:dyDescent="0.25">
      <c r="J82" t="str">
        <v>Single</v>
      </c>
      <c r="K82" t="str" cm="1">
        <f t="array" ref="K82">_xlfn.IFS('Sales Data'!J83 &gt;= 4, "Large", 'Sales Data'!J83 &gt;= 2, "Medium",'Sales Data'!J83 &lt; 2,"Small")</f>
        <v>Large</v>
      </c>
      <c r="L82" t="str" cm="1">
        <f t="array" ref="L82">IF(AND('Sales Data'!O84:O185="Returned",'Sales Data'!N84:N184&gt;500),"Yes","No")</f>
        <v>No</v>
      </c>
    </row>
    <row r="83" spans="10:12" x14ac:dyDescent="0.25">
      <c r="J83" t="str">
        <v>Bulk</v>
      </c>
      <c r="K83" t="str" cm="1">
        <f t="array" ref="K83">_xlfn.IFS('Sales Data'!J84 &gt;= 4, "Large", 'Sales Data'!J84 &gt;= 2, "Medium",'Sales Data'!J84 &lt; 2,"Small")</f>
        <v>Small</v>
      </c>
      <c r="L83" t="str" cm="1">
        <f t="array" ref="L83">IF(AND('Sales Data'!O85:O186="Returned",'Sales Data'!N85:N185&gt;500),"Yes","No")</f>
        <v>No</v>
      </c>
    </row>
    <row r="84" spans="10:12" x14ac:dyDescent="0.25">
      <c r="J84" t="str">
        <v>Single</v>
      </c>
      <c r="K84" t="str" cm="1">
        <f t="array" ref="K84">_xlfn.IFS('Sales Data'!J85 &gt;= 4, "Large", 'Sales Data'!J85 &gt;= 2, "Medium",'Sales Data'!J85 &lt; 2,"Small")</f>
        <v>Large</v>
      </c>
      <c r="L84" t="str" cm="1">
        <f t="array" ref="L84">IF(AND('Sales Data'!O86:O187="Returned",'Sales Data'!N86:N186&gt;500),"Yes","No")</f>
        <v>No</v>
      </c>
    </row>
    <row r="85" spans="10:12" x14ac:dyDescent="0.25">
      <c r="J85" t="str">
        <v>Single</v>
      </c>
      <c r="K85" t="str" cm="1">
        <f t="array" ref="K85">_xlfn.IFS('Sales Data'!J86 &gt;= 4, "Large", 'Sales Data'!J86 &gt;= 2, "Medium",'Sales Data'!J86 &lt; 2,"Small")</f>
        <v>Small</v>
      </c>
      <c r="L85" t="str" cm="1">
        <f t="array" ref="L85">IF(AND('Sales Data'!O87:O188="Returned",'Sales Data'!N87:N187&gt;500),"Yes","No")</f>
        <v>No</v>
      </c>
    </row>
    <row r="86" spans="10:12" x14ac:dyDescent="0.25">
      <c r="J86" t="str">
        <v>Bulk</v>
      </c>
      <c r="K86" t="str" cm="1">
        <f t="array" ref="K86">_xlfn.IFS('Sales Data'!J87 &gt;= 4, "Large", 'Sales Data'!J87 &gt;= 2, "Medium",'Sales Data'!J87 &lt; 2,"Small")</f>
        <v>Medium</v>
      </c>
      <c r="L86" t="str" cm="1">
        <f t="array" ref="L86">IF(AND('Sales Data'!O88:O189="Returned",'Sales Data'!N88:N188&gt;500),"Yes","No")</f>
        <v>No</v>
      </c>
    </row>
    <row r="87" spans="10:12" x14ac:dyDescent="0.25">
      <c r="J87" t="str">
        <v>Single</v>
      </c>
      <c r="K87" t="str" cm="1">
        <f t="array" ref="K87">_xlfn.IFS('Sales Data'!J88 &gt;= 4, "Large", 'Sales Data'!J88 &gt;= 2, "Medium",'Sales Data'!J88 &lt; 2,"Small")</f>
        <v>Large</v>
      </c>
      <c r="L87" t="str" cm="1">
        <f t="array" ref="L87">IF(AND('Sales Data'!O89:O190="Returned",'Sales Data'!N89:N189&gt;500),"Yes","No")</f>
        <v>No</v>
      </c>
    </row>
    <row r="88" spans="10:12" x14ac:dyDescent="0.25">
      <c r="J88" t="str">
        <v>Single</v>
      </c>
      <c r="K88" t="str" cm="1">
        <f t="array" ref="K88">_xlfn.IFS('Sales Data'!J89 &gt;= 4, "Large", 'Sales Data'!J89 &gt;= 2, "Medium",'Sales Data'!J89 &lt; 2,"Small")</f>
        <v>Small</v>
      </c>
      <c r="L88" t="str" cm="1">
        <f t="array" ref="L88">IF(AND('Sales Data'!O90:O191="Returned",'Sales Data'!N90:N190&gt;500),"Yes","No")</f>
        <v>No</v>
      </c>
    </row>
    <row r="89" spans="10:12" x14ac:dyDescent="0.25">
      <c r="J89" t="str">
        <v>Single</v>
      </c>
      <c r="K89" t="str" cm="1">
        <f t="array" ref="K89">_xlfn.IFS('Sales Data'!J90 &gt;= 4, "Large", 'Sales Data'!J90 &gt;= 2, "Medium",'Sales Data'!J90 &lt; 2,"Small")</f>
        <v>Small</v>
      </c>
      <c r="L89" t="str" cm="1">
        <f t="array" ref="L89">IF(AND('Sales Data'!O91:O192="Returned",'Sales Data'!N91:N191&gt;500),"Yes","No")</f>
        <v>No</v>
      </c>
    </row>
    <row r="90" spans="10:12" x14ac:dyDescent="0.25">
      <c r="J90" t="str">
        <v>Bulk</v>
      </c>
      <c r="K90" t="str" cm="1">
        <f t="array" ref="K90">_xlfn.IFS('Sales Data'!J91 &gt;= 4, "Large", 'Sales Data'!J91 &gt;= 2, "Medium",'Sales Data'!J91 &lt; 2,"Small")</f>
        <v>Medium</v>
      </c>
      <c r="L90" t="str" cm="1">
        <f t="array" ref="L90">IF(AND('Sales Data'!O92:O193="Returned",'Sales Data'!N92:N192&gt;500),"Yes","No")</f>
        <v>No</v>
      </c>
    </row>
    <row r="91" spans="10:12" x14ac:dyDescent="0.25">
      <c r="J91" t="str">
        <v>Single</v>
      </c>
      <c r="K91" t="str" cm="1">
        <f t="array" ref="K91">_xlfn.IFS('Sales Data'!J92 &gt;= 4, "Large", 'Sales Data'!J92 &gt;= 2, "Medium",'Sales Data'!J92 &lt; 2,"Small")</f>
        <v>Large</v>
      </c>
      <c r="L91" t="str" cm="1">
        <f t="array" ref="L91">IF(AND('Sales Data'!O93:O194="Returned",'Sales Data'!N93:N193&gt;500),"Yes","No")</f>
        <v>No</v>
      </c>
    </row>
    <row r="92" spans="10:12" x14ac:dyDescent="0.25">
      <c r="J92" t="str">
        <v>Single</v>
      </c>
      <c r="K92" t="str" cm="1">
        <f t="array" ref="K92">_xlfn.IFS('Sales Data'!J93 &gt;= 4, "Large", 'Sales Data'!J93 &gt;= 2, "Medium",'Sales Data'!J93 &lt; 2,"Small")</f>
        <v>Small</v>
      </c>
      <c r="L92" t="str" cm="1">
        <f t="array" ref="L92">IF(AND('Sales Data'!O94:O195="Returned",'Sales Data'!N94:N194&gt;500),"Yes","No")</f>
        <v>No</v>
      </c>
    </row>
    <row r="93" spans="10:12" x14ac:dyDescent="0.25">
      <c r="J93" t="str">
        <v>Single</v>
      </c>
      <c r="K93" t="str" cm="1">
        <f t="array" ref="K93">_xlfn.IFS('Sales Data'!J94 &gt;= 4, "Large", 'Sales Data'!J94 &gt;= 2, "Medium",'Sales Data'!J94 &lt; 2,"Small")</f>
        <v>Small</v>
      </c>
      <c r="L93" t="str" cm="1">
        <f t="array" ref="L93">IF(AND('Sales Data'!O95:O196="Returned",'Sales Data'!N95:N195&gt;500),"Yes","No")</f>
        <v>No</v>
      </c>
    </row>
    <row r="94" spans="10:12" x14ac:dyDescent="0.25">
      <c r="J94" t="str">
        <v>Bulk</v>
      </c>
      <c r="K94" t="str" cm="1">
        <f t="array" ref="K94">_xlfn.IFS('Sales Data'!J95 &gt;= 4, "Large", 'Sales Data'!J95 &gt;= 2, "Medium",'Sales Data'!J95 &lt; 2,"Small")</f>
        <v>Medium</v>
      </c>
      <c r="L94" t="str" cm="1">
        <f t="array" ref="L94">IF(AND('Sales Data'!O96:O197="Returned",'Sales Data'!N96:N196&gt;500),"Yes","No")</f>
        <v>No</v>
      </c>
    </row>
    <row r="95" spans="10:12" x14ac:dyDescent="0.25">
      <c r="J95" t="str">
        <v>Bulk</v>
      </c>
      <c r="K95" t="str" cm="1">
        <f t="array" ref="K95">_xlfn.IFS('Sales Data'!J96 &gt;= 4, "Large", 'Sales Data'!J96 &gt;= 2, "Medium",'Sales Data'!J96 &lt; 2,"Small")</f>
        <v>Large</v>
      </c>
      <c r="L95" t="str" cm="1">
        <f t="array" ref="L95">IF(AND('Sales Data'!O97:O198="Returned",'Sales Data'!N97:N197&gt;500),"Yes","No")</f>
        <v>No</v>
      </c>
    </row>
    <row r="96" spans="10:12" x14ac:dyDescent="0.25">
      <c r="J96" t="str">
        <v>Single</v>
      </c>
      <c r="K96" t="str" cm="1">
        <f t="array" ref="K96">_xlfn.IFS('Sales Data'!J97 &gt;= 4, "Large", 'Sales Data'!J97 &gt;= 2, "Medium",'Sales Data'!J97 &lt; 2,"Small")</f>
        <v>Large</v>
      </c>
      <c r="L96" t="str" cm="1">
        <f t="array" ref="L96">IF(AND('Sales Data'!O98:O199="Returned",'Sales Data'!N98:N198&gt;500),"Yes","No")</f>
        <v>No</v>
      </c>
    </row>
    <row r="97" spans="10:12" x14ac:dyDescent="0.25">
      <c r="J97" t="str">
        <v>Single</v>
      </c>
      <c r="K97" t="str" cm="1">
        <f t="array" ref="K97">_xlfn.IFS('Sales Data'!J98 &gt;= 4, "Large", 'Sales Data'!J98 &gt;= 2, "Medium",'Sales Data'!J98 &lt; 2,"Small")</f>
        <v>Medium</v>
      </c>
      <c r="L97" t="str" cm="1">
        <f t="array" ref="L97">IF(AND('Sales Data'!O99:O200="Returned",'Sales Data'!N99:N199&gt;500),"Yes","No")</f>
        <v>No</v>
      </c>
    </row>
    <row r="98" spans="10:12" x14ac:dyDescent="0.25">
      <c r="J98" t="str">
        <v>Single</v>
      </c>
      <c r="K98" t="str" cm="1">
        <f t="array" ref="K98">_xlfn.IFS('Sales Data'!J99 &gt;= 4, "Large", 'Sales Data'!J99 &gt;= 2, "Medium",'Sales Data'!J99 &lt; 2,"Small")</f>
        <v>Small</v>
      </c>
      <c r="L98" t="str" cm="1">
        <f t="array" ref="L98">IF(AND('Sales Data'!O100:O201="Returned",'Sales Data'!N100:N200&gt;500),"Yes","No")</f>
        <v>No</v>
      </c>
    </row>
    <row r="99" spans="10:12" x14ac:dyDescent="0.25">
      <c r="J99" t="str">
        <v>Single</v>
      </c>
      <c r="K99" t="str" cm="1">
        <f t="array" ref="K99">_xlfn.IFS('Sales Data'!J100 &gt;= 4, "Large", 'Sales Data'!J100 &gt;= 2, "Medium",'Sales Data'!J100 &lt; 2,"Small")</f>
        <v>Medium</v>
      </c>
      <c r="L99" t="str" cm="1">
        <f t="array" ref="L99">IF(AND('Sales Data'!O101:O202="Returned",'Sales Data'!N101:N201&gt;500),"Yes","No")</f>
        <v>No</v>
      </c>
    </row>
    <row r="100" spans="10:12" x14ac:dyDescent="0.25">
      <c r="J100" t="str">
        <v>Single</v>
      </c>
      <c r="K100" t="str" cm="1">
        <f t="array" ref="K100">_xlfn.IFS('Sales Data'!J101 &gt;= 4, "Large", 'Sales Data'!J101 &gt;= 2, "Medium",'Sales Data'!J101 &lt; 2,"Small")</f>
        <v>Small</v>
      </c>
      <c r="L100" t="str" cm="1">
        <f t="array" ref="L100">IF(AND('Sales Data'!O102:O203="Returned",'Sales Data'!N102:N202&gt;500),"Yes","No")</f>
        <v>No</v>
      </c>
    </row>
    <row r="101" spans="10:12" x14ac:dyDescent="0.25">
      <c r="J101" t="str">
        <v>Single</v>
      </c>
      <c r="K101" t="str" cm="1">
        <f t="array" ref="K101">_xlfn.IFS('Sales Data'!J102 &gt;= 4, "Large", 'Sales Data'!J102 &gt;= 2, "Medium",'Sales Data'!J102 &lt; 2,"Small")</f>
        <v>Small</v>
      </c>
      <c r="L101" t="str" cm="1">
        <f t="array" ref="L101">IF(AND('Sales Data'!O103:O204="Returned",'Sales Data'!N103:N203&gt;500),"Yes","No")</f>
        <v>No</v>
      </c>
    </row>
    <row r="102" spans="10:12" x14ac:dyDescent="0.25">
      <c r="J102" t="str">
        <v>Single</v>
      </c>
      <c r="K102" t="str" cm="1">
        <f t="array" ref="K102">_xlfn.IFS('Sales Data'!J103 &gt;= 4, "Large", 'Sales Data'!J103 &gt;= 2, "Medium",'Sales Data'!J103 &lt; 2,"Small")</f>
        <v>Small</v>
      </c>
      <c r="L102" t="str" cm="1">
        <f t="array" ref="L102">IF(AND('Sales Data'!O104:O205="Returned",'Sales Data'!N104:N204&gt;500),"Yes","No")</f>
        <v>No</v>
      </c>
    </row>
    <row r="103" spans="10:12" x14ac:dyDescent="0.25">
      <c r="J103" t="str">
        <v>Single</v>
      </c>
      <c r="K103" t="str" cm="1">
        <f t="array" ref="K103">_xlfn.IFS('Sales Data'!J104 &gt;= 4, "Large", 'Sales Data'!J104 &gt;= 2, "Medium",'Sales Data'!J104 &lt; 2,"Small")</f>
        <v>Small</v>
      </c>
      <c r="L103" t="str" cm="1">
        <f t="array" ref="L103">IF(AND('Sales Data'!O105:O206="Returned",'Sales Data'!N105:N205&gt;500),"Yes","No")</f>
        <v>No</v>
      </c>
    </row>
  </sheetData>
  <mergeCells count="25">
    <mergeCell ref="A1:H1"/>
    <mergeCell ref="A3:H3"/>
    <mergeCell ref="B6:D6"/>
    <mergeCell ref="E6:H6"/>
    <mergeCell ref="B7:D7"/>
    <mergeCell ref="E7:H7"/>
    <mergeCell ref="B8:D8"/>
    <mergeCell ref="E8:H8"/>
    <mergeCell ref="B9:D9"/>
    <mergeCell ref="E9:H9"/>
    <mergeCell ref="B10:D10"/>
    <mergeCell ref="E10:H10"/>
    <mergeCell ref="B11:D11"/>
    <mergeCell ref="E11:H11"/>
    <mergeCell ref="A27:H27"/>
    <mergeCell ref="A28:H28"/>
    <mergeCell ref="A29:H29"/>
    <mergeCell ref="A36:D36"/>
    <mergeCell ref="E36:H36"/>
    <mergeCell ref="A33:D33"/>
    <mergeCell ref="E33:H33"/>
    <mergeCell ref="A34:D34"/>
    <mergeCell ref="E34:H34"/>
    <mergeCell ref="A35:D35"/>
    <mergeCell ref="E35:H35"/>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0BAE-B04F-405C-BB67-E293CC02E7C8}">
  <dimension ref="A1:P25"/>
  <sheetViews>
    <sheetView workbookViewId="0">
      <selection activeCell="M23" sqref="M23"/>
    </sheetView>
  </sheetViews>
  <sheetFormatPr defaultRowHeight="15" x14ac:dyDescent="0.25"/>
  <cols>
    <col min="1" max="1" width="14.42578125" bestFit="1" customWidth="1"/>
    <col min="2" max="2" width="20" bestFit="1" customWidth="1"/>
    <col min="3" max="3" width="10.28515625" bestFit="1" customWidth="1"/>
    <col min="4" max="4" width="16.85546875" bestFit="1" customWidth="1"/>
    <col min="5" max="5" width="9.85546875" bestFit="1" customWidth="1"/>
    <col min="6" max="6" width="12.28515625" bestFit="1" customWidth="1"/>
    <col min="7" max="7" width="11.28515625" bestFit="1" customWidth="1"/>
    <col min="8" max="8" width="9.140625" bestFit="1" customWidth="1"/>
    <col min="9" max="9" width="9.28515625" bestFit="1" customWidth="1"/>
    <col min="10" max="10" width="8.5703125" bestFit="1" customWidth="1"/>
    <col min="11" max="11" width="13.5703125" bestFit="1" customWidth="1"/>
    <col min="12" max="12" width="8" bestFit="1" customWidth="1"/>
    <col min="13" max="13" width="13.7109375" bestFit="1" customWidth="1"/>
    <col min="14" max="14" width="10.7109375" bestFit="1" customWidth="1"/>
    <col min="15" max="15" width="13" bestFit="1" customWidth="1"/>
    <col min="16" max="16" width="14.28515625" bestFit="1" customWidth="1"/>
  </cols>
  <sheetData>
    <row r="1" spans="1:16" x14ac:dyDescent="0.25">
      <c r="A1" t="s">
        <v>521</v>
      </c>
      <c r="B1" t="s">
        <v>522</v>
      </c>
      <c r="C1" t="s">
        <v>523</v>
      </c>
      <c r="D1" t="s">
        <v>524</v>
      </c>
      <c r="E1" t="s">
        <v>525</v>
      </c>
      <c r="F1" t="s">
        <v>526</v>
      </c>
      <c r="G1" t="s">
        <v>527</v>
      </c>
      <c r="H1" t="s">
        <v>528</v>
      </c>
      <c r="I1" t="s">
        <v>529</v>
      </c>
      <c r="J1" t="s">
        <v>530</v>
      </c>
      <c r="K1" t="s">
        <v>531</v>
      </c>
      <c r="L1" t="s">
        <v>532</v>
      </c>
      <c r="M1" t="s">
        <v>533</v>
      </c>
      <c r="N1" t="s">
        <v>534</v>
      </c>
      <c r="O1" t="s">
        <v>535</v>
      </c>
      <c r="P1" t="s">
        <v>536</v>
      </c>
    </row>
    <row r="2" spans="1:16" x14ac:dyDescent="0.25">
      <c r="A2" t="s">
        <v>537</v>
      </c>
      <c r="B2" t="s">
        <v>538</v>
      </c>
      <c r="C2" t="s">
        <v>539</v>
      </c>
      <c r="D2" t="s">
        <v>540</v>
      </c>
      <c r="E2" t="s">
        <v>541</v>
      </c>
      <c r="F2" s="48">
        <v>45306</v>
      </c>
      <c r="G2" s="48">
        <v>45350</v>
      </c>
      <c r="H2" t="s">
        <v>542</v>
      </c>
      <c r="I2">
        <v>15000</v>
      </c>
      <c r="J2">
        <v>14250</v>
      </c>
      <c r="K2">
        <v>850000</v>
      </c>
      <c r="L2">
        <v>12750</v>
      </c>
      <c r="M2">
        <v>382</v>
      </c>
      <c r="N2">
        <v>38200</v>
      </c>
      <c r="O2">
        <v>45</v>
      </c>
      <c r="P2">
        <v>2.5</v>
      </c>
    </row>
    <row r="3" spans="1:16" x14ac:dyDescent="0.25">
      <c r="A3" t="s">
        <v>543</v>
      </c>
      <c r="B3" t="s">
        <v>538</v>
      </c>
      <c r="C3" t="s">
        <v>544</v>
      </c>
      <c r="D3" t="s">
        <v>545</v>
      </c>
      <c r="E3" t="s">
        <v>541</v>
      </c>
      <c r="F3" s="48">
        <v>45306</v>
      </c>
      <c r="G3" s="48">
        <v>45350</v>
      </c>
      <c r="H3" t="s">
        <v>542</v>
      </c>
      <c r="I3">
        <v>20000</v>
      </c>
      <c r="J3">
        <v>19800</v>
      </c>
      <c r="K3">
        <v>450000</v>
      </c>
      <c r="L3">
        <v>18000</v>
      </c>
      <c r="M3">
        <v>540</v>
      </c>
      <c r="N3">
        <v>64800</v>
      </c>
      <c r="O3">
        <v>40</v>
      </c>
      <c r="P3">
        <v>3</v>
      </c>
    </row>
    <row r="4" spans="1:16" x14ac:dyDescent="0.25">
      <c r="A4" t="s">
        <v>546</v>
      </c>
      <c r="B4" t="s">
        <v>547</v>
      </c>
      <c r="C4" t="s">
        <v>548</v>
      </c>
      <c r="D4" t="s">
        <v>549</v>
      </c>
      <c r="E4" t="s">
        <v>541</v>
      </c>
      <c r="F4" s="48">
        <v>45371</v>
      </c>
      <c r="G4" s="48">
        <v>45387</v>
      </c>
      <c r="H4" t="s">
        <v>550</v>
      </c>
      <c r="I4">
        <v>8000</v>
      </c>
      <c r="J4">
        <v>7650</v>
      </c>
      <c r="K4">
        <v>320000</v>
      </c>
      <c r="L4">
        <v>6400</v>
      </c>
      <c r="M4">
        <v>192</v>
      </c>
      <c r="N4">
        <v>19200</v>
      </c>
      <c r="O4">
        <v>50</v>
      </c>
      <c r="P4">
        <v>2</v>
      </c>
    </row>
    <row r="5" spans="1:16" x14ac:dyDescent="0.25">
      <c r="A5" t="s">
        <v>551</v>
      </c>
      <c r="B5" t="s">
        <v>552</v>
      </c>
      <c r="C5" t="s">
        <v>39</v>
      </c>
      <c r="D5" t="s">
        <v>549</v>
      </c>
      <c r="E5" t="s">
        <v>541</v>
      </c>
      <c r="F5" s="48">
        <v>45323</v>
      </c>
      <c r="G5" s="48">
        <v>45350</v>
      </c>
      <c r="H5" t="s">
        <v>542</v>
      </c>
      <c r="I5">
        <v>3000</v>
      </c>
      <c r="J5">
        <v>2850</v>
      </c>
      <c r="K5">
        <v>125000</v>
      </c>
      <c r="L5">
        <v>8750</v>
      </c>
      <c r="M5">
        <v>263</v>
      </c>
      <c r="N5">
        <v>31560</v>
      </c>
      <c r="O5">
        <v>12</v>
      </c>
      <c r="P5">
        <v>10</v>
      </c>
    </row>
    <row r="6" spans="1:16" x14ac:dyDescent="0.25">
      <c r="A6" t="s">
        <v>553</v>
      </c>
      <c r="B6" t="s">
        <v>554</v>
      </c>
      <c r="C6" t="s">
        <v>539</v>
      </c>
      <c r="D6" t="s">
        <v>549</v>
      </c>
      <c r="E6" t="s">
        <v>541</v>
      </c>
      <c r="F6" s="48">
        <v>45296</v>
      </c>
      <c r="G6" s="48">
        <v>45322</v>
      </c>
      <c r="H6" t="s">
        <v>555</v>
      </c>
      <c r="I6">
        <v>12000</v>
      </c>
      <c r="J6">
        <v>11400</v>
      </c>
      <c r="K6">
        <v>680000</v>
      </c>
      <c r="L6">
        <v>10200</v>
      </c>
      <c r="M6">
        <v>306</v>
      </c>
      <c r="N6">
        <v>27540</v>
      </c>
      <c r="O6">
        <v>42</v>
      </c>
      <c r="P6">
        <v>2.2000000000000002</v>
      </c>
    </row>
    <row r="7" spans="1:16" x14ac:dyDescent="0.25">
      <c r="A7" t="s">
        <v>556</v>
      </c>
      <c r="B7" t="s">
        <v>557</v>
      </c>
      <c r="C7" t="s">
        <v>558</v>
      </c>
      <c r="D7" t="s">
        <v>540</v>
      </c>
      <c r="E7" t="s">
        <v>541</v>
      </c>
      <c r="F7" s="48">
        <v>45301</v>
      </c>
      <c r="G7" s="48">
        <v>45382</v>
      </c>
      <c r="H7" t="s">
        <v>559</v>
      </c>
      <c r="I7">
        <v>18000</v>
      </c>
      <c r="J7">
        <v>17100</v>
      </c>
      <c r="K7">
        <v>240000</v>
      </c>
      <c r="L7">
        <v>4800</v>
      </c>
      <c r="M7">
        <v>144</v>
      </c>
      <c r="N7">
        <v>21600</v>
      </c>
      <c r="O7">
        <v>130</v>
      </c>
      <c r="P7">
        <v>1.2</v>
      </c>
    </row>
    <row r="8" spans="1:16" x14ac:dyDescent="0.25">
      <c r="A8" t="s">
        <v>560</v>
      </c>
      <c r="B8" t="s">
        <v>561</v>
      </c>
      <c r="C8" t="s">
        <v>539</v>
      </c>
      <c r="D8" t="s">
        <v>549</v>
      </c>
      <c r="E8" t="s">
        <v>562</v>
      </c>
      <c r="F8" s="48">
        <v>45444</v>
      </c>
      <c r="G8" s="48">
        <v>45473</v>
      </c>
      <c r="H8" t="s">
        <v>542</v>
      </c>
      <c r="I8">
        <v>25000</v>
      </c>
      <c r="J8">
        <v>24500</v>
      </c>
      <c r="K8">
        <v>1200000</v>
      </c>
      <c r="L8">
        <v>24000</v>
      </c>
      <c r="M8">
        <v>720</v>
      </c>
      <c r="N8">
        <v>86400</v>
      </c>
      <c r="O8">
        <v>35</v>
      </c>
      <c r="P8">
        <v>3.5</v>
      </c>
    </row>
    <row r="9" spans="1:16" x14ac:dyDescent="0.25">
      <c r="A9" t="s">
        <v>563</v>
      </c>
      <c r="B9" t="s">
        <v>561</v>
      </c>
      <c r="C9" t="s">
        <v>544</v>
      </c>
      <c r="D9" t="s">
        <v>545</v>
      </c>
      <c r="E9" t="s">
        <v>562</v>
      </c>
      <c r="F9" s="48">
        <v>45444</v>
      </c>
      <c r="G9" s="48">
        <v>45473</v>
      </c>
      <c r="H9" t="s">
        <v>542</v>
      </c>
      <c r="I9">
        <v>30000</v>
      </c>
      <c r="J9">
        <v>28900</v>
      </c>
      <c r="K9">
        <v>520000</v>
      </c>
      <c r="L9">
        <v>26000</v>
      </c>
      <c r="M9">
        <v>845</v>
      </c>
      <c r="N9">
        <v>101400</v>
      </c>
      <c r="O9">
        <v>38</v>
      </c>
      <c r="P9">
        <v>3.2</v>
      </c>
    </row>
    <row r="10" spans="1:16" x14ac:dyDescent="0.25">
      <c r="A10" t="s">
        <v>564</v>
      </c>
      <c r="B10" t="s">
        <v>565</v>
      </c>
      <c r="C10" t="s">
        <v>558</v>
      </c>
      <c r="D10" t="s">
        <v>549</v>
      </c>
      <c r="E10" t="s">
        <v>562</v>
      </c>
      <c r="F10" s="48">
        <v>45483</v>
      </c>
      <c r="G10" s="48">
        <v>45504</v>
      </c>
      <c r="H10" t="s">
        <v>559</v>
      </c>
      <c r="I10">
        <v>12000</v>
      </c>
      <c r="J10">
        <v>11400</v>
      </c>
      <c r="K10">
        <v>180000</v>
      </c>
      <c r="L10">
        <v>3600</v>
      </c>
      <c r="M10">
        <v>108</v>
      </c>
      <c r="N10">
        <v>16200</v>
      </c>
      <c r="O10">
        <v>120</v>
      </c>
      <c r="P10">
        <v>1.5</v>
      </c>
    </row>
    <row r="11" spans="1:16" x14ac:dyDescent="0.25">
      <c r="A11" t="s">
        <v>566</v>
      </c>
      <c r="B11" t="s">
        <v>567</v>
      </c>
      <c r="C11" t="s">
        <v>548</v>
      </c>
      <c r="D11" t="s">
        <v>549</v>
      </c>
      <c r="E11" t="s">
        <v>562</v>
      </c>
      <c r="F11" s="48">
        <v>45413</v>
      </c>
      <c r="G11" s="48">
        <v>45424</v>
      </c>
      <c r="H11" t="s">
        <v>568</v>
      </c>
      <c r="I11">
        <v>9500</v>
      </c>
      <c r="J11">
        <v>9025</v>
      </c>
      <c r="K11">
        <v>420000</v>
      </c>
      <c r="L11">
        <v>8400</v>
      </c>
      <c r="M11">
        <v>252</v>
      </c>
      <c r="N11">
        <v>30240</v>
      </c>
      <c r="O11">
        <v>40</v>
      </c>
      <c r="P11">
        <v>3.2</v>
      </c>
    </row>
    <row r="12" spans="1:16" x14ac:dyDescent="0.25">
      <c r="A12" t="s">
        <v>569</v>
      </c>
      <c r="B12" t="s">
        <v>570</v>
      </c>
      <c r="C12" t="s">
        <v>571</v>
      </c>
      <c r="D12" t="s">
        <v>540</v>
      </c>
      <c r="E12" t="s">
        <v>562</v>
      </c>
      <c r="F12" s="48">
        <v>45432</v>
      </c>
      <c r="G12" s="48">
        <v>45439</v>
      </c>
      <c r="H12" t="s">
        <v>542</v>
      </c>
      <c r="I12">
        <v>15000</v>
      </c>
      <c r="J12">
        <v>14250</v>
      </c>
      <c r="K12">
        <v>780000</v>
      </c>
      <c r="L12">
        <v>23400</v>
      </c>
      <c r="M12">
        <v>702</v>
      </c>
      <c r="N12">
        <v>42120</v>
      </c>
      <c r="O12">
        <v>22</v>
      </c>
      <c r="P12">
        <v>2.8</v>
      </c>
    </row>
    <row r="13" spans="1:16" x14ac:dyDescent="0.25">
      <c r="A13" t="s">
        <v>572</v>
      </c>
      <c r="B13" t="s">
        <v>573</v>
      </c>
      <c r="C13" t="s">
        <v>544</v>
      </c>
      <c r="D13" t="s">
        <v>545</v>
      </c>
      <c r="E13" t="s">
        <v>562</v>
      </c>
      <c r="F13" s="48">
        <v>45397</v>
      </c>
      <c r="G13" s="48">
        <v>45473</v>
      </c>
      <c r="H13" t="s">
        <v>542</v>
      </c>
      <c r="I13">
        <v>22000</v>
      </c>
      <c r="J13">
        <v>21120</v>
      </c>
      <c r="K13">
        <v>380000</v>
      </c>
      <c r="L13">
        <v>19000</v>
      </c>
      <c r="M13">
        <v>627</v>
      </c>
      <c r="N13">
        <v>75240</v>
      </c>
      <c r="O13">
        <v>36</v>
      </c>
      <c r="P13">
        <v>3.4</v>
      </c>
    </row>
    <row r="14" spans="1:16" x14ac:dyDescent="0.25">
      <c r="A14" t="s">
        <v>574</v>
      </c>
      <c r="B14" t="s">
        <v>575</v>
      </c>
      <c r="C14" t="s">
        <v>571</v>
      </c>
      <c r="D14" t="s">
        <v>540</v>
      </c>
      <c r="E14" t="s">
        <v>576</v>
      </c>
      <c r="F14" s="48">
        <v>45519</v>
      </c>
      <c r="G14" s="48">
        <v>45550</v>
      </c>
      <c r="H14" t="s">
        <v>542</v>
      </c>
      <c r="I14">
        <v>18000</v>
      </c>
      <c r="J14">
        <v>17200</v>
      </c>
      <c r="K14">
        <v>950000</v>
      </c>
      <c r="L14">
        <v>28500</v>
      </c>
      <c r="M14">
        <v>855</v>
      </c>
      <c r="N14">
        <v>51300</v>
      </c>
      <c r="O14">
        <v>25</v>
      </c>
      <c r="P14">
        <v>2.8</v>
      </c>
    </row>
    <row r="15" spans="1:16" x14ac:dyDescent="0.25">
      <c r="A15" t="s">
        <v>577</v>
      </c>
      <c r="B15" t="s">
        <v>575</v>
      </c>
      <c r="C15" t="s">
        <v>544</v>
      </c>
      <c r="D15" t="s">
        <v>545</v>
      </c>
      <c r="E15" t="s">
        <v>576</v>
      </c>
      <c r="F15" s="48">
        <v>45519</v>
      </c>
      <c r="G15" s="48">
        <v>45550</v>
      </c>
      <c r="H15" t="s">
        <v>568</v>
      </c>
      <c r="I15">
        <v>22000</v>
      </c>
      <c r="J15">
        <v>21500</v>
      </c>
      <c r="K15">
        <v>480000</v>
      </c>
      <c r="L15">
        <v>21600</v>
      </c>
      <c r="M15">
        <v>648</v>
      </c>
      <c r="N15">
        <v>77760</v>
      </c>
      <c r="O15">
        <v>35</v>
      </c>
      <c r="P15">
        <v>3.5</v>
      </c>
    </row>
    <row r="16" spans="1:16" x14ac:dyDescent="0.25">
      <c r="A16" t="s">
        <v>578</v>
      </c>
      <c r="B16" t="s">
        <v>579</v>
      </c>
      <c r="C16" t="s">
        <v>539</v>
      </c>
      <c r="D16" t="s">
        <v>549</v>
      </c>
      <c r="E16" t="s">
        <v>576</v>
      </c>
      <c r="F16" s="48">
        <v>45534</v>
      </c>
      <c r="G16" s="48">
        <v>45537</v>
      </c>
      <c r="H16" t="s">
        <v>542</v>
      </c>
      <c r="I16">
        <v>14000</v>
      </c>
      <c r="J16">
        <v>13300</v>
      </c>
      <c r="K16">
        <v>720000</v>
      </c>
      <c r="L16">
        <v>14400</v>
      </c>
      <c r="M16">
        <v>432</v>
      </c>
      <c r="N16">
        <v>51840</v>
      </c>
      <c r="O16">
        <v>32</v>
      </c>
      <c r="P16">
        <v>3.8</v>
      </c>
    </row>
    <row r="17" spans="1:16" x14ac:dyDescent="0.25">
      <c r="A17" t="s">
        <v>580</v>
      </c>
      <c r="B17" t="s">
        <v>581</v>
      </c>
      <c r="C17" t="s">
        <v>548</v>
      </c>
      <c r="D17" t="s">
        <v>540</v>
      </c>
      <c r="E17" t="s">
        <v>576</v>
      </c>
      <c r="F17" s="48">
        <v>45545</v>
      </c>
      <c r="G17" s="48">
        <v>45565</v>
      </c>
      <c r="H17" t="s">
        <v>550</v>
      </c>
      <c r="I17">
        <v>11000</v>
      </c>
      <c r="J17">
        <v>10450</v>
      </c>
      <c r="K17">
        <v>390000</v>
      </c>
      <c r="L17">
        <v>7800</v>
      </c>
      <c r="M17">
        <v>234</v>
      </c>
      <c r="N17">
        <v>23400</v>
      </c>
      <c r="O17">
        <v>48</v>
      </c>
      <c r="P17">
        <v>2.1</v>
      </c>
    </row>
    <row r="18" spans="1:16" x14ac:dyDescent="0.25">
      <c r="A18" t="s">
        <v>582</v>
      </c>
      <c r="B18" t="s">
        <v>583</v>
      </c>
      <c r="C18" t="s">
        <v>39</v>
      </c>
      <c r="D18" t="s">
        <v>549</v>
      </c>
      <c r="E18" t="s">
        <v>576</v>
      </c>
      <c r="F18" s="48">
        <v>45488</v>
      </c>
      <c r="G18" s="48">
        <v>45565</v>
      </c>
      <c r="H18" t="s">
        <v>542</v>
      </c>
      <c r="I18">
        <v>4500</v>
      </c>
      <c r="J18">
        <v>4275</v>
      </c>
      <c r="K18">
        <v>180000</v>
      </c>
      <c r="L18">
        <v>12600</v>
      </c>
      <c r="M18">
        <v>378</v>
      </c>
      <c r="N18">
        <v>45360</v>
      </c>
      <c r="O18">
        <v>13</v>
      </c>
      <c r="P18">
        <v>9.5</v>
      </c>
    </row>
    <row r="19" spans="1:16" x14ac:dyDescent="0.25">
      <c r="A19" t="s">
        <v>584</v>
      </c>
      <c r="B19" t="s">
        <v>585</v>
      </c>
      <c r="C19" t="s">
        <v>558</v>
      </c>
      <c r="D19" t="s">
        <v>540</v>
      </c>
      <c r="E19" t="s">
        <v>576</v>
      </c>
      <c r="F19" s="48">
        <v>45505</v>
      </c>
      <c r="G19" s="48">
        <v>45535</v>
      </c>
      <c r="H19" t="s">
        <v>555</v>
      </c>
      <c r="I19">
        <v>16000</v>
      </c>
      <c r="J19">
        <v>15200</v>
      </c>
      <c r="K19">
        <v>210000</v>
      </c>
      <c r="L19">
        <v>4200</v>
      </c>
      <c r="M19">
        <v>126</v>
      </c>
      <c r="N19">
        <v>18900</v>
      </c>
      <c r="O19">
        <v>135</v>
      </c>
      <c r="P19">
        <v>1.3</v>
      </c>
    </row>
    <row r="20" spans="1:16" x14ac:dyDescent="0.25">
      <c r="A20" t="s">
        <v>586</v>
      </c>
      <c r="B20" t="s">
        <v>587</v>
      </c>
      <c r="C20" t="s">
        <v>539</v>
      </c>
      <c r="D20" t="s">
        <v>549</v>
      </c>
      <c r="E20" t="s">
        <v>588</v>
      </c>
      <c r="F20" s="48">
        <v>45616</v>
      </c>
      <c r="G20" s="48">
        <v>45626</v>
      </c>
      <c r="H20" t="s">
        <v>542</v>
      </c>
      <c r="I20">
        <v>35000</v>
      </c>
      <c r="J20">
        <v>34300</v>
      </c>
      <c r="K20">
        <v>1800000</v>
      </c>
      <c r="L20">
        <v>36000</v>
      </c>
      <c r="M20">
        <v>1080</v>
      </c>
      <c r="N20">
        <v>162000</v>
      </c>
      <c r="O20">
        <v>34</v>
      </c>
      <c r="P20">
        <v>4.5</v>
      </c>
    </row>
    <row r="21" spans="1:16" x14ac:dyDescent="0.25">
      <c r="A21" t="s">
        <v>589</v>
      </c>
      <c r="B21" t="s">
        <v>587</v>
      </c>
      <c r="C21" t="s">
        <v>544</v>
      </c>
      <c r="D21" t="s">
        <v>545</v>
      </c>
      <c r="E21" t="s">
        <v>588</v>
      </c>
      <c r="F21" s="48">
        <v>45616</v>
      </c>
      <c r="G21" s="48">
        <v>45626</v>
      </c>
      <c r="H21" t="s">
        <v>542</v>
      </c>
      <c r="I21">
        <v>40000</v>
      </c>
      <c r="J21">
        <v>39200</v>
      </c>
      <c r="K21">
        <v>680000</v>
      </c>
      <c r="L21">
        <v>34000</v>
      </c>
      <c r="M21">
        <v>1156</v>
      </c>
      <c r="N21">
        <v>150280</v>
      </c>
      <c r="O21">
        <v>36</v>
      </c>
      <c r="P21">
        <v>3.8</v>
      </c>
    </row>
    <row r="22" spans="1:16" x14ac:dyDescent="0.25">
      <c r="A22" t="s">
        <v>590</v>
      </c>
      <c r="B22" t="s">
        <v>591</v>
      </c>
      <c r="C22" t="s">
        <v>548</v>
      </c>
      <c r="D22" t="s">
        <v>549</v>
      </c>
      <c r="E22" t="s">
        <v>588</v>
      </c>
      <c r="F22" s="48">
        <v>45627</v>
      </c>
      <c r="G22" s="48">
        <v>45646</v>
      </c>
      <c r="H22" t="s">
        <v>542</v>
      </c>
      <c r="I22">
        <v>28000</v>
      </c>
      <c r="J22">
        <v>26600</v>
      </c>
      <c r="K22">
        <v>1100000</v>
      </c>
      <c r="L22">
        <v>22000</v>
      </c>
      <c r="M22">
        <v>660</v>
      </c>
      <c r="N22">
        <v>79200</v>
      </c>
      <c r="O22">
        <v>42</v>
      </c>
      <c r="P22">
        <v>2.8</v>
      </c>
    </row>
    <row r="23" spans="1:16" x14ac:dyDescent="0.25">
      <c r="A23" t="s">
        <v>592</v>
      </c>
      <c r="B23" t="s">
        <v>593</v>
      </c>
      <c r="C23" t="s">
        <v>571</v>
      </c>
      <c r="D23" t="s">
        <v>549</v>
      </c>
      <c r="E23" t="s">
        <v>588</v>
      </c>
      <c r="F23" s="48">
        <v>45628</v>
      </c>
      <c r="G23" s="48">
        <v>45628</v>
      </c>
      <c r="H23" t="s">
        <v>542</v>
      </c>
      <c r="I23">
        <v>20000</v>
      </c>
      <c r="J23">
        <v>19600</v>
      </c>
      <c r="K23">
        <v>1050000</v>
      </c>
      <c r="L23">
        <v>31500</v>
      </c>
      <c r="M23">
        <v>945</v>
      </c>
      <c r="N23">
        <v>66150</v>
      </c>
      <c r="O23">
        <v>22</v>
      </c>
      <c r="P23">
        <v>3.2</v>
      </c>
    </row>
    <row r="24" spans="1:16" x14ac:dyDescent="0.25">
      <c r="A24" t="s">
        <v>594</v>
      </c>
      <c r="B24" t="s">
        <v>595</v>
      </c>
      <c r="C24" t="s">
        <v>539</v>
      </c>
      <c r="D24" t="s">
        <v>549</v>
      </c>
      <c r="E24" t="s">
        <v>588</v>
      </c>
      <c r="F24" s="48">
        <v>45652</v>
      </c>
      <c r="G24" s="48">
        <v>45657</v>
      </c>
      <c r="H24" t="s">
        <v>555</v>
      </c>
      <c r="I24">
        <v>10000</v>
      </c>
      <c r="J24">
        <v>9500</v>
      </c>
      <c r="K24">
        <v>480000</v>
      </c>
      <c r="L24">
        <v>9600</v>
      </c>
      <c r="M24">
        <v>288</v>
      </c>
      <c r="N24">
        <v>31680</v>
      </c>
      <c r="O24">
        <v>36</v>
      </c>
      <c r="P24">
        <v>3.2</v>
      </c>
    </row>
    <row r="25" spans="1:16" x14ac:dyDescent="0.25">
      <c r="A25" t="s">
        <v>596</v>
      </c>
      <c r="B25" t="s">
        <v>597</v>
      </c>
      <c r="C25" t="s">
        <v>39</v>
      </c>
      <c r="D25" t="s">
        <v>549</v>
      </c>
      <c r="E25" t="s">
        <v>588</v>
      </c>
      <c r="F25" s="48">
        <v>45611</v>
      </c>
      <c r="G25" s="48">
        <v>45651</v>
      </c>
      <c r="H25" t="s">
        <v>542</v>
      </c>
      <c r="I25">
        <v>5500</v>
      </c>
      <c r="J25">
        <v>5225</v>
      </c>
      <c r="K25">
        <v>220000</v>
      </c>
      <c r="L25">
        <v>15400</v>
      </c>
      <c r="M25">
        <v>462</v>
      </c>
      <c r="N25">
        <v>60060</v>
      </c>
      <c r="O25">
        <v>12.5</v>
      </c>
      <c r="P25">
        <v>10.5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P52"/>
  <sheetViews>
    <sheetView topLeftCell="A8" zoomScaleNormal="100" workbookViewId="0">
      <selection activeCell="E30" sqref="E30"/>
    </sheetView>
  </sheetViews>
  <sheetFormatPr defaultColWidth="8.7109375" defaultRowHeight="15" x14ac:dyDescent="0.25"/>
  <cols>
    <col min="1" max="1" width="16" customWidth="1"/>
    <col min="2" max="2" width="58.140625" customWidth="1"/>
    <col min="3" max="4" width="16" customWidth="1"/>
    <col min="5" max="5" width="33.42578125" customWidth="1"/>
    <col min="6" max="8" width="16" customWidth="1"/>
    <col min="9" max="9" width="13" customWidth="1"/>
    <col min="10" max="10" width="16.7109375" customWidth="1"/>
    <col min="11" max="11" width="14.5703125" customWidth="1"/>
    <col min="12" max="12" width="15" bestFit="1" customWidth="1"/>
    <col min="14" max="14" width="16.5703125" customWidth="1"/>
    <col min="15" max="15" width="14.5703125" customWidth="1"/>
    <col min="16" max="16" width="18.7109375" customWidth="1"/>
    <col min="17" max="17" width="13.42578125" customWidth="1"/>
  </cols>
  <sheetData>
    <row r="1" spans="1:16" ht="15.75" customHeight="1" x14ac:dyDescent="0.25">
      <c r="A1" s="59" t="s">
        <v>333</v>
      </c>
      <c r="B1" s="59"/>
      <c r="C1" s="59"/>
      <c r="D1" s="59"/>
      <c r="E1" s="59"/>
      <c r="F1" s="59"/>
      <c r="G1" s="59"/>
      <c r="H1" s="59"/>
    </row>
    <row r="3" spans="1:16" ht="15" customHeight="1" x14ac:dyDescent="0.25">
      <c r="A3" s="60" t="s">
        <v>334</v>
      </c>
      <c r="B3" s="60"/>
      <c r="C3" s="60"/>
      <c r="D3" s="60"/>
      <c r="E3" s="60"/>
      <c r="F3" s="60"/>
      <c r="G3" s="60"/>
      <c r="H3" s="60"/>
    </row>
    <row r="5" spans="1:16" ht="15.75" customHeight="1" x14ac:dyDescent="0.25">
      <c r="A5" s="5" t="s">
        <v>218</v>
      </c>
    </row>
    <row r="6" spans="1:16" ht="15" customHeight="1" x14ac:dyDescent="0.25">
      <c r="A6" s="4" t="s">
        <v>219</v>
      </c>
      <c r="B6" s="56" t="s">
        <v>220</v>
      </c>
      <c r="C6" s="56"/>
      <c r="D6" s="56"/>
      <c r="E6" s="56" t="s">
        <v>221</v>
      </c>
      <c r="F6" s="56"/>
      <c r="G6" s="56"/>
      <c r="H6" s="56"/>
    </row>
    <row r="7" spans="1:16" ht="15" customHeight="1" x14ac:dyDescent="0.25">
      <c r="A7" s="13" t="s">
        <v>335</v>
      </c>
      <c r="B7" s="54" t="s">
        <v>336</v>
      </c>
      <c r="C7" s="54"/>
      <c r="D7" s="54"/>
      <c r="E7" s="54" t="s">
        <v>337</v>
      </c>
      <c r="F7" s="54"/>
      <c r="G7" s="54"/>
      <c r="H7" s="54"/>
    </row>
    <row r="8" spans="1:16" ht="15" customHeight="1" x14ac:dyDescent="0.25">
      <c r="A8" s="13" t="s">
        <v>338</v>
      </c>
      <c r="B8" s="54" t="s">
        <v>339</v>
      </c>
      <c r="C8" s="54"/>
      <c r="D8" s="54"/>
      <c r="E8" s="54" t="s">
        <v>340</v>
      </c>
      <c r="F8" s="54"/>
      <c r="G8" s="54"/>
      <c r="H8" s="54"/>
    </row>
    <row r="10" spans="1:16" ht="15.75" customHeight="1" x14ac:dyDescent="0.25">
      <c r="A10" s="5" t="s">
        <v>341</v>
      </c>
    </row>
    <row r="11" spans="1:16" ht="15" customHeight="1" x14ac:dyDescent="0.25">
      <c r="A11" s="15" t="s">
        <v>42</v>
      </c>
      <c r="B11" s="15" t="s">
        <v>43</v>
      </c>
      <c r="C11" s="15" t="s">
        <v>44</v>
      </c>
      <c r="D11" s="15" t="s">
        <v>342</v>
      </c>
      <c r="E11" s="15" t="s">
        <v>343</v>
      </c>
      <c r="H11" s="15" t="s">
        <v>42</v>
      </c>
      <c r="I11" s="15" t="s">
        <v>43</v>
      </c>
      <c r="J11" s="15" t="s">
        <v>44</v>
      </c>
      <c r="K11" s="15" t="s">
        <v>509</v>
      </c>
      <c r="L11" s="15"/>
      <c r="N11" s="15" t="s">
        <v>42</v>
      </c>
      <c r="O11" s="15" t="s">
        <v>43</v>
      </c>
      <c r="P11" s="15" t="s">
        <v>44</v>
      </c>
    </row>
    <row r="12" spans="1:16" ht="15" customHeight="1" x14ac:dyDescent="0.25">
      <c r="A12" s="8" t="s">
        <v>163</v>
      </c>
      <c r="B12" s="8" t="s">
        <v>110</v>
      </c>
      <c r="C12" s="16">
        <v>149.99</v>
      </c>
      <c r="D12" s="8">
        <v>25</v>
      </c>
      <c r="E12" s="8">
        <v>10</v>
      </c>
      <c r="F12" t="str">
        <f>IF(D12=E12,"Y","N")</f>
        <v>N</v>
      </c>
      <c r="H12" s="8" t="str">
        <f>HLOOKUP(H$11,$A$11:$E$26,3,0)</f>
        <v>Desk Chair</v>
      </c>
      <c r="I12" s="8" t="str">
        <f>VLOOKUP(H12,A11:E26,2)</f>
        <v>Furniture</v>
      </c>
      <c r="J12" s="8">
        <v>10</v>
      </c>
      <c r="K12" s="8">
        <f>VLOOKUP(H12,N11:P14,3)</f>
        <v>30</v>
      </c>
      <c r="L12" s="8" t="str">
        <f>IF(J12=K12,"Y","N")</f>
        <v>N</v>
      </c>
      <c r="N12" s="8" t="s">
        <v>142</v>
      </c>
      <c r="O12" s="8" t="s">
        <v>110</v>
      </c>
      <c r="P12" s="8">
        <v>30</v>
      </c>
    </row>
    <row r="13" spans="1:16" ht="15" customHeight="1" x14ac:dyDescent="0.25">
      <c r="A13" s="8" t="s">
        <v>142</v>
      </c>
      <c r="B13" s="8" t="s">
        <v>110</v>
      </c>
      <c r="C13" s="16">
        <v>299.99</v>
      </c>
      <c r="D13" s="8">
        <v>15</v>
      </c>
      <c r="E13" s="8">
        <v>5</v>
      </c>
      <c r="F13" t="str">
        <f t="shared" ref="F13:F26" si="0">IF(D13=E13,"Y","N")</f>
        <v>N</v>
      </c>
      <c r="H13" s="8" t="str">
        <f t="shared" ref="H13:H14" si="1">HLOOKUP(H$11,$A$11:$E$26,3,0)</f>
        <v>Desk Chair</v>
      </c>
      <c r="I13" s="8" t="str">
        <f>_xlfn.XLOOKUP(H13,Table2[Product],Table2[City])</f>
        <v>Melbourne</v>
      </c>
      <c r="J13" s="16"/>
      <c r="K13" s="8"/>
      <c r="L13" s="8"/>
      <c r="N13" s="8"/>
      <c r="O13" s="8"/>
      <c r="P13" s="16"/>
    </row>
    <row r="14" spans="1:16" ht="15" customHeight="1" x14ac:dyDescent="0.25">
      <c r="A14" s="8" t="s">
        <v>139</v>
      </c>
      <c r="B14" s="8" t="s">
        <v>110</v>
      </c>
      <c r="C14" s="16">
        <v>39.99</v>
      </c>
      <c r="D14" s="8">
        <v>50</v>
      </c>
      <c r="E14" s="8">
        <v>20</v>
      </c>
      <c r="F14" t="str">
        <f t="shared" si="0"/>
        <v>N</v>
      </c>
      <c r="H14" s="8" t="str">
        <f t="shared" si="1"/>
        <v>Desk Chair</v>
      </c>
      <c r="I14" s="8"/>
      <c r="J14" s="16"/>
      <c r="K14" s="8"/>
      <c r="L14" s="8"/>
      <c r="N14" s="8"/>
      <c r="O14" s="8"/>
      <c r="P14" s="16"/>
    </row>
    <row r="15" spans="1:16" ht="15" customHeight="1" x14ac:dyDescent="0.25">
      <c r="A15" s="8" t="s">
        <v>90</v>
      </c>
      <c r="B15" s="8" t="s">
        <v>69</v>
      </c>
      <c r="C15" s="16">
        <v>129.99</v>
      </c>
      <c r="D15" s="8">
        <v>40</v>
      </c>
      <c r="E15" s="8">
        <v>15</v>
      </c>
      <c r="F15" t="str">
        <f t="shared" si="0"/>
        <v>N</v>
      </c>
    </row>
    <row r="16" spans="1:16" ht="15" customHeight="1" x14ac:dyDescent="0.25">
      <c r="A16" s="8" t="s">
        <v>104</v>
      </c>
      <c r="B16" s="8" t="s">
        <v>69</v>
      </c>
      <c r="C16" s="16">
        <v>79.989999999999995</v>
      </c>
      <c r="D16" s="8">
        <v>60</v>
      </c>
      <c r="E16" s="8">
        <v>25</v>
      </c>
      <c r="F16" t="str">
        <f t="shared" si="0"/>
        <v>N</v>
      </c>
    </row>
    <row r="17" spans="1:8" ht="15" customHeight="1" x14ac:dyDescent="0.25">
      <c r="A17" s="8" t="s">
        <v>113</v>
      </c>
      <c r="B17" s="8" t="s">
        <v>69</v>
      </c>
      <c r="C17" s="16">
        <v>899.99</v>
      </c>
      <c r="D17" s="8">
        <v>20</v>
      </c>
      <c r="E17" s="8">
        <v>8</v>
      </c>
      <c r="F17" t="str">
        <f t="shared" si="0"/>
        <v>N</v>
      </c>
    </row>
    <row r="18" spans="1:8" ht="15" customHeight="1" x14ac:dyDescent="0.25">
      <c r="A18" s="8" t="s">
        <v>78</v>
      </c>
      <c r="B18" s="8" t="s">
        <v>69</v>
      </c>
      <c r="C18" s="16">
        <v>349.99</v>
      </c>
      <c r="D18" s="8">
        <v>30</v>
      </c>
      <c r="E18" s="8">
        <v>10</v>
      </c>
      <c r="F18" t="str">
        <f t="shared" si="0"/>
        <v>N</v>
      </c>
    </row>
    <row r="19" spans="1:8" ht="15" customHeight="1" x14ac:dyDescent="0.25">
      <c r="A19" s="8" t="s">
        <v>94</v>
      </c>
      <c r="B19" s="8" t="s">
        <v>59</v>
      </c>
      <c r="C19" s="16">
        <v>12.99</v>
      </c>
      <c r="D19" s="8">
        <v>200</v>
      </c>
      <c r="E19" s="8">
        <v>50</v>
      </c>
      <c r="F19" t="str">
        <f t="shared" si="0"/>
        <v>N</v>
      </c>
    </row>
    <row r="20" spans="1:8" ht="15" customHeight="1" x14ac:dyDescent="0.25">
      <c r="A20" s="8" t="s">
        <v>121</v>
      </c>
      <c r="B20" s="8" t="s">
        <v>59</v>
      </c>
      <c r="C20" s="16">
        <v>8.99</v>
      </c>
      <c r="D20" s="8">
        <v>150</v>
      </c>
      <c r="E20" s="8">
        <v>40</v>
      </c>
      <c r="F20" t="str">
        <f t="shared" si="0"/>
        <v>N</v>
      </c>
    </row>
    <row r="21" spans="1:8" ht="15" customHeight="1" x14ac:dyDescent="0.25">
      <c r="A21" s="8" t="s">
        <v>135</v>
      </c>
      <c r="B21" s="8" t="s">
        <v>59</v>
      </c>
      <c r="C21" s="16">
        <v>24.99</v>
      </c>
      <c r="D21" s="8">
        <v>100</v>
      </c>
      <c r="E21" s="8">
        <v>30</v>
      </c>
      <c r="F21" t="str">
        <f t="shared" si="0"/>
        <v>N</v>
      </c>
    </row>
    <row r="22" spans="1:8" ht="15" customHeight="1" x14ac:dyDescent="0.25">
      <c r="A22" s="8" t="s">
        <v>109</v>
      </c>
      <c r="B22" s="8" t="s">
        <v>110</v>
      </c>
      <c r="C22" s="16">
        <v>499.99</v>
      </c>
      <c r="D22" s="8">
        <v>10</v>
      </c>
      <c r="E22" s="8">
        <v>3</v>
      </c>
      <c r="F22" t="str">
        <f t="shared" si="0"/>
        <v>N</v>
      </c>
    </row>
    <row r="23" spans="1:8" ht="15" customHeight="1" x14ac:dyDescent="0.25">
      <c r="A23" s="8" t="s">
        <v>129</v>
      </c>
      <c r="B23" s="8" t="s">
        <v>69</v>
      </c>
      <c r="C23" s="16">
        <v>49.99</v>
      </c>
      <c r="D23" s="8">
        <v>80</v>
      </c>
      <c r="E23" s="8">
        <v>30</v>
      </c>
      <c r="F23" t="str">
        <f t="shared" si="0"/>
        <v>N</v>
      </c>
    </row>
    <row r="24" spans="1:8" ht="15" customHeight="1" x14ac:dyDescent="0.25">
      <c r="A24" s="8" t="s">
        <v>68</v>
      </c>
      <c r="B24" s="8" t="s">
        <v>69</v>
      </c>
      <c r="C24" s="16">
        <v>69.989999999999995</v>
      </c>
      <c r="D24" s="8">
        <v>45</v>
      </c>
      <c r="E24" s="8">
        <v>15</v>
      </c>
      <c r="F24" t="str">
        <f t="shared" si="0"/>
        <v>N</v>
      </c>
    </row>
    <row r="25" spans="1:8" ht="15" customHeight="1" x14ac:dyDescent="0.25">
      <c r="A25" s="8" t="s">
        <v>58</v>
      </c>
      <c r="B25" s="8" t="s">
        <v>59</v>
      </c>
      <c r="C25" s="16">
        <v>59.99</v>
      </c>
      <c r="D25" s="8">
        <v>35</v>
      </c>
      <c r="E25" s="8">
        <v>10</v>
      </c>
      <c r="F25" t="str">
        <f t="shared" si="0"/>
        <v>N</v>
      </c>
    </row>
    <row r="26" spans="1:8" ht="15" customHeight="1" x14ac:dyDescent="0.25">
      <c r="A26" s="8" t="s">
        <v>102</v>
      </c>
      <c r="B26" s="8" t="s">
        <v>69</v>
      </c>
      <c r="C26" s="16">
        <v>29.99</v>
      </c>
      <c r="D26" s="8">
        <v>100</v>
      </c>
      <c r="E26" s="8">
        <v>40</v>
      </c>
      <c r="F26" t="str">
        <f t="shared" si="0"/>
        <v>N</v>
      </c>
    </row>
    <row r="29" spans="1:8" ht="15.75" customHeight="1" x14ac:dyDescent="0.25">
      <c r="A29" s="5" t="s">
        <v>262</v>
      </c>
    </row>
    <row r="30" spans="1:8" ht="15" customHeight="1" x14ac:dyDescent="0.25">
      <c r="A30" s="1" t="s">
        <v>344</v>
      </c>
      <c r="B30" s="19" t="s">
        <v>113</v>
      </c>
      <c r="C30" s="64" t="s">
        <v>109</v>
      </c>
      <c r="D30" s="65" t="s">
        <v>601</v>
      </c>
    </row>
    <row r="32" spans="1:8" ht="15" customHeight="1" x14ac:dyDescent="0.25">
      <c r="A32" s="56" t="s">
        <v>232</v>
      </c>
      <c r="B32" s="56"/>
      <c r="C32" s="56"/>
      <c r="D32" s="56" t="s">
        <v>219</v>
      </c>
      <c r="E32" s="56"/>
      <c r="F32" s="56"/>
      <c r="G32" s="56"/>
      <c r="H32" s="4" t="s">
        <v>233</v>
      </c>
    </row>
    <row r="33" spans="1:8" ht="15" customHeight="1" x14ac:dyDescent="0.25">
      <c r="A33" s="54" t="s">
        <v>345</v>
      </c>
      <c r="B33" s="54"/>
      <c r="C33" s="54"/>
      <c r="D33" s="55">
        <f>VLOOKUP(B30,A12:E26,3,FALSE())</f>
        <v>899.99</v>
      </c>
      <c r="E33" s="55"/>
      <c r="F33" s="55"/>
      <c r="G33" s="55"/>
      <c r="H33" s="14">
        <f>VLOOKUP(B30,A12:E26,3,FALSE())</f>
        <v>899.99</v>
      </c>
    </row>
    <row r="34" spans="1:8" ht="15" customHeight="1" x14ac:dyDescent="0.25">
      <c r="A34" s="54" t="s">
        <v>346</v>
      </c>
      <c r="B34" s="54"/>
      <c r="C34" s="54"/>
      <c r="D34" s="55" t="str">
        <f>VLOOKUP(B30,A12:E26,2,FALSE())</f>
        <v>Electronics</v>
      </c>
      <c r="E34" s="55"/>
      <c r="F34" s="55"/>
      <c r="G34" s="55"/>
      <c r="H34" s="14" t="str">
        <f>VLOOKUP(B30,A12:E26,2,FALSE())</f>
        <v>Electronics</v>
      </c>
    </row>
    <row r="35" spans="1:8" ht="15" customHeight="1" x14ac:dyDescent="0.25">
      <c r="A35" s="54" t="s">
        <v>347</v>
      </c>
      <c r="B35" s="54"/>
      <c r="C35" s="54"/>
      <c r="D35" s="55">
        <f xml:space="preserve"> _xlfn.XLOOKUP(B30,A12:A26,D12:D26,"Not Found")</f>
        <v>20</v>
      </c>
      <c r="E35" s="55"/>
      <c r="F35" s="55"/>
      <c r="G35" s="55"/>
      <c r="H35" s="14">
        <f>_xlfn.XLOOKUP(B30,A12:A26,D12:D26,"Not Found")</f>
        <v>20</v>
      </c>
    </row>
    <row r="36" spans="1:8" ht="15" customHeight="1" x14ac:dyDescent="0.25">
      <c r="A36" s="54" t="s">
        <v>348</v>
      </c>
      <c r="B36" s="54"/>
      <c r="C36" s="54"/>
      <c r="D36" s="55">
        <f>_xlfn.XLOOKUP(B30,A12:A26,E12:E26,"Not Found")</f>
        <v>8</v>
      </c>
      <c r="E36" s="55"/>
      <c r="F36" s="55"/>
      <c r="G36" s="55"/>
      <c r="H36" s="14">
        <f>_xlfn.XLOOKUP(B30,A12:A26,E12:E26,"Not Found")</f>
        <v>8</v>
      </c>
    </row>
    <row r="38" spans="1:8" ht="15" customHeight="1" x14ac:dyDescent="0.25">
      <c r="A38" s="61" t="s">
        <v>349</v>
      </c>
      <c r="B38" s="61"/>
      <c r="C38" s="61"/>
      <c r="D38" s="61"/>
      <c r="E38" s="61"/>
      <c r="F38" s="61"/>
      <c r="G38" s="61"/>
      <c r="H38" s="61"/>
    </row>
    <row r="40" spans="1:8" ht="15.75" customHeight="1" x14ac:dyDescent="0.25">
      <c r="A40" s="5" t="s">
        <v>350</v>
      </c>
    </row>
    <row r="41" spans="1:8" ht="15" customHeight="1" x14ac:dyDescent="0.25">
      <c r="A41" s="56" t="s">
        <v>351</v>
      </c>
      <c r="B41" s="56"/>
      <c r="C41" s="56" t="s">
        <v>335</v>
      </c>
      <c r="D41" s="56"/>
      <c r="E41" s="56"/>
      <c r="F41" s="56" t="s">
        <v>338</v>
      </c>
      <c r="G41" s="56"/>
      <c r="H41" s="56"/>
    </row>
    <row r="42" spans="1:8" ht="15" customHeight="1" x14ac:dyDescent="0.25">
      <c r="A42" s="52" t="s">
        <v>352</v>
      </c>
      <c r="B42" s="52"/>
      <c r="C42" s="54" t="s">
        <v>353</v>
      </c>
      <c r="D42" s="54"/>
      <c r="E42" s="54"/>
      <c r="F42" s="54" t="s">
        <v>354</v>
      </c>
      <c r="G42" s="54"/>
      <c r="H42" s="54"/>
    </row>
    <row r="43" spans="1:8" ht="15" customHeight="1" x14ac:dyDescent="0.25">
      <c r="A43" s="52" t="s">
        <v>355</v>
      </c>
      <c r="B43" s="52"/>
      <c r="C43" s="54" t="s">
        <v>356</v>
      </c>
      <c r="D43" s="54"/>
      <c r="E43" s="54"/>
      <c r="F43" s="54" t="s">
        <v>357</v>
      </c>
      <c r="G43" s="54"/>
      <c r="H43" s="54"/>
    </row>
    <row r="44" spans="1:8" ht="15" customHeight="1" x14ac:dyDescent="0.25">
      <c r="A44" s="52" t="s">
        <v>358</v>
      </c>
      <c r="B44" s="52"/>
      <c r="C44" s="54" t="s">
        <v>359</v>
      </c>
      <c r="D44" s="54"/>
      <c r="E44" s="54"/>
      <c r="F44" s="54" t="s">
        <v>360</v>
      </c>
      <c r="G44" s="54"/>
      <c r="H44" s="54"/>
    </row>
    <row r="45" spans="1:8" ht="15" customHeight="1" x14ac:dyDescent="0.25">
      <c r="A45" s="52" t="s">
        <v>361</v>
      </c>
      <c r="B45" s="52"/>
      <c r="C45" s="54" t="s">
        <v>362</v>
      </c>
      <c r="D45" s="54"/>
      <c r="E45" s="54"/>
      <c r="F45" s="54" t="s">
        <v>363</v>
      </c>
      <c r="G45" s="54"/>
      <c r="H45" s="54"/>
    </row>
    <row r="48" spans="1:8" ht="15.75" customHeight="1" x14ac:dyDescent="0.25">
      <c r="A48" s="5" t="s">
        <v>239</v>
      </c>
    </row>
    <row r="49" spans="1:8" ht="15" customHeight="1" x14ac:dyDescent="0.25">
      <c r="A49" s="56" t="s">
        <v>240</v>
      </c>
      <c r="B49" s="56"/>
      <c r="C49" s="56"/>
      <c r="D49" s="56"/>
      <c r="E49" s="56" t="s">
        <v>241</v>
      </c>
      <c r="F49" s="56"/>
      <c r="G49" s="56"/>
      <c r="H49" s="56"/>
    </row>
    <row r="50" spans="1:8" ht="15" customHeight="1" x14ac:dyDescent="0.25">
      <c r="A50" s="54" t="s">
        <v>364</v>
      </c>
      <c r="B50" s="54"/>
      <c r="C50" s="54"/>
      <c r="D50" s="54"/>
      <c r="E50" s="53">
        <f>VLOOKUP("WebCam HD", A2:E26,3,FALSE())</f>
        <v>69.989999999999995</v>
      </c>
      <c r="F50" s="53"/>
      <c r="G50" s="53"/>
      <c r="H50" s="53"/>
    </row>
    <row r="51" spans="1:8" ht="15" customHeight="1" x14ac:dyDescent="0.25">
      <c r="A51" s="54" t="s">
        <v>365</v>
      </c>
      <c r="B51" s="54"/>
      <c r="C51" s="54"/>
      <c r="D51" s="54"/>
      <c r="E51" s="53">
        <f xml:space="preserve"> _xlfn.XLOOKUP(C30,A12:A26,D12:D26,"Not Found")</f>
        <v>10</v>
      </c>
      <c r="F51" s="53"/>
      <c r="G51" s="53"/>
      <c r="H51" s="53"/>
    </row>
    <row r="52" spans="1:8" ht="15" customHeight="1" x14ac:dyDescent="0.25">
      <c r="A52" s="54" t="s">
        <v>366</v>
      </c>
      <c r="B52" s="54"/>
      <c r="C52" s="54"/>
      <c r="D52" s="54"/>
      <c r="E52" s="53" t="str">
        <f>_xlfn.XLOOKUP(D30,A12:A26,D12:D26,"Not Found")</f>
        <v>Not Found</v>
      </c>
      <c r="F52" s="53"/>
      <c r="G52" s="53"/>
      <c r="H52" s="53"/>
    </row>
  </sheetData>
  <mergeCells count="42">
    <mergeCell ref="A1:H1"/>
    <mergeCell ref="A3:H3"/>
    <mergeCell ref="B6:D6"/>
    <mergeCell ref="E6:H6"/>
    <mergeCell ref="B7:D7"/>
    <mergeCell ref="E7:H7"/>
    <mergeCell ref="B8:D8"/>
    <mergeCell ref="E8:H8"/>
    <mergeCell ref="A32:C32"/>
    <mergeCell ref="D32:G32"/>
    <mergeCell ref="A33:C33"/>
    <mergeCell ref="D33:G33"/>
    <mergeCell ref="A34:C34"/>
    <mergeCell ref="D34:G34"/>
    <mergeCell ref="A35:C35"/>
    <mergeCell ref="D35:G35"/>
    <mergeCell ref="A36:C36"/>
    <mergeCell ref="D36:G36"/>
    <mergeCell ref="A38:H38"/>
    <mergeCell ref="A41:B41"/>
    <mergeCell ref="C41:E41"/>
    <mergeCell ref="F41:H41"/>
    <mergeCell ref="A42:B42"/>
    <mergeCell ref="C42:E42"/>
    <mergeCell ref="F42:H42"/>
    <mergeCell ref="A43:B43"/>
    <mergeCell ref="C43:E43"/>
    <mergeCell ref="F43:H43"/>
    <mergeCell ref="A44:B44"/>
    <mergeCell ref="C44:E44"/>
    <mergeCell ref="F44:H44"/>
    <mergeCell ref="A45:B45"/>
    <mergeCell ref="C45:E45"/>
    <mergeCell ref="F45:H45"/>
    <mergeCell ref="A49:D49"/>
    <mergeCell ref="E49:H49"/>
    <mergeCell ref="A50:D50"/>
    <mergeCell ref="E50:H50"/>
    <mergeCell ref="A51:D51"/>
    <mergeCell ref="E51:H51"/>
    <mergeCell ref="A52:D52"/>
    <mergeCell ref="E52:H5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5D7E-E645-4FDE-B9F1-C6FA04105E14}">
  <dimension ref="A1:P25"/>
  <sheetViews>
    <sheetView workbookViewId="0">
      <selection activeCell="L9" sqref="L9"/>
    </sheetView>
  </sheetViews>
  <sheetFormatPr defaultRowHeight="15" x14ac:dyDescent="0.25"/>
  <sheetData>
    <row r="1" spans="1:16" x14ac:dyDescent="0.25">
      <c r="A1" t="s">
        <v>521</v>
      </c>
      <c r="B1" t="s">
        <v>522</v>
      </c>
      <c r="C1" t="s">
        <v>523</v>
      </c>
      <c r="D1" t="s">
        <v>524</v>
      </c>
      <c r="E1" t="s">
        <v>525</v>
      </c>
      <c r="F1" t="s">
        <v>526</v>
      </c>
      <c r="G1" t="s">
        <v>527</v>
      </c>
      <c r="H1" t="s">
        <v>528</v>
      </c>
      <c r="I1" t="s">
        <v>529</v>
      </c>
      <c r="J1" t="s">
        <v>530</v>
      </c>
      <c r="K1" t="s">
        <v>531</v>
      </c>
      <c r="L1" t="s">
        <v>532</v>
      </c>
      <c r="M1" t="s">
        <v>533</v>
      </c>
      <c r="N1" t="s">
        <v>534</v>
      </c>
      <c r="O1" t="s">
        <v>535</v>
      </c>
      <c r="P1" t="s">
        <v>536</v>
      </c>
    </row>
    <row r="2" spans="1:16" x14ac:dyDescent="0.25">
      <c r="A2" t="s">
        <v>537</v>
      </c>
      <c r="B2" t="s">
        <v>538</v>
      </c>
      <c r="C2" t="s">
        <v>539</v>
      </c>
      <c r="D2" t="s">
        <v>540</v>
      </c>
      <c r="E2" t="s">
        <v>541</v>
      </c>
      <c r="F2">
        <v>45306</v>
      </c>
      <c r="G2">
        <v>45350</v>
      </c>
      <c r="H2" t="s">
        <v>542</v>
      </c>
      <c r="I2">
        <v>15000</v>
      </c>
      <c r="J2">
        <v>14250</v>
      </c>
      <c r="K2">
        <v>850000</v>
      </c>
      <c r="L2">
        <v>12750</v>
      </c>
      <c r="M2">
        <v>382</v>
      </c>
      <c r="N2">
        <v>38200</v>
      </c>
      <c r="O2">
        <v>45</v>
      </c>
      <c r="P2">
        <v>2.5</v>
      </c>
    </row>
    <row r="3" spans="1:16" x14ac:dyDescent="0.25">
      <c r="A3" t="s">
        <v>543</v>
      </c>
      <c r="B3" t="s">
        <v>538</v>
      </c>
      <c r="C3" t="s">
        <v>544</v>
      </c>
      <c r="D3" t="s">
        <v>545</v>
      </c>
      <c r="E3" t="s">
        <v>541</v>
      </c>
      <c r="F3">
        <v>45306</v>
      </c>
      <c r="G3">
        <v>45350</v>
      </c>
      <c r="H3" t="s">
        <v>542</v>
      </c>
      <c r="I3">
        <v>20000</v>
      </c>
      <c r="J3">
        <v>19800</v>
      </c>
      <c r="K3">
        <v>450000</v>
      </c>
      <c r="L3">
        <v>18000</v>
      </c>
      <c r="M3">
        <v>540</v>
      </c>
      <c r="N3">
        <v>64800</v>
      </c>
      <c r="O3">
        <v>40</v>
      </c>
      <c r="P3">
        <v>3</v>
      </c>
    </row>
    <row r="4" spans="1:16" x14ac:dyDescent="0.25">
      <c r="A4" t="s">
        <v>546</v>
      </c>
      <c r="B4" t="s">
        <v>547</v>
      </c>
      <c r="C4" t="s">
        <v>548</v>
      </c>
      <c r="D4" t="s">
        <v>549</v>
      </c>
      <c r="E4" t="s">
        <v>541</v>
      </c>
      <c r="F4">
        <v>45371</v>
      </c>
      <c r="G4">
        <v>45387</v>
      </c>
      <c r="H4" t="s">
        <v>550</v>
      </c>
      <c r="I4">
        <v>8000</v>
      </c>
      <c r="J4">
        <v>7650</v>
      </c>
      <c r="K4">
        <v>320000</v>
      </c>
      <c r="L4">
        <v>6400</v>
      </c>
      <c r="M4">
        <v>192</v>
      </c>
      <c r="N4">
        <v>19200</v>
      </c>
      <c r="O4">
        <v>50</v>
      </c>
      <c r="P4">
        <v>2</v>
      </c>
    </row>
    <row r="5" spans="1:16" x14ac:dyDescent="0.25">
      <c r="A5" t="s">
        <v>551</v>
      </c>
      <c r="B5" t="s">
        <v>552</v>
      </c>
      <c r="C5" t="s">
        <v>39</v>
      </c>
      <c r="D5" t="s">
        <v>549</v>
      </c>
      <c r="E5" t="s">
        <v>541</v>
      </c>
      <c r="F5">
        <v>45323</v>
      </c>
      <c r="G5">
        <v>45350</v>
      </c>
      <c r="H5" t="s">
        <v>542</v>
      </c>
      <c r="I5">
        <v>3000</v>
      </c>
      <c r="J5">
        <v>2850</v>
      </c>
      <c r="K5">
        <v>125000</v>
      </c>
      <c r="L5">
        <v>8750</v>
      </c>
      <c r="M5">
        <v>263</v>
      </c>
      <c r="N5">
        <v>31560</v>
      </c>
      <c r="O5">
        <v>12</v>
      </c>
      <c r="P5">
        <v>10</v>
      </c>
    </row>
    <row r="6" spans="1:16" x14ac:dyDescent="0.25">
      <c r="A6" t="s">
        <v>553</v>
      </c>
      <c r="B6" t="s">
        <v>554</v>
      </c>
      <c r="C6" t="s">
        <v>539</v>
      </c>
      <c r="D6" t="s">
        <v>549</v>
      </c>
      <c r="E6" t="s">
        <v>541</v>
      </c>
      <c r="F6">
        <v>45296</v>
      </c>
      <c r="G6">
        <v>45322</v>
      </c>
      <c r="H6" t="s">
        <v>555</v>
      </c>
      <c r="I6">
        <v>12000</v>
      </c>
      <c r="J6">
        <v>11400</v>
      </c>
      <c r="K6">
        <v>680000</v>
      </c>
      <c r="L6">
        <v>10200</v>
      </c>
      <c r="M6">
        <v>306</v>
      </c>
      <c r="N6">
        <v>27540</v>
      </c>
      <c r="O6">
        <v>42</v>
      </c>
      <c r="P6">
        <v>2.2000000000000002</v>
      </c>
    </row>
    <row r="7" spans="1:16" x14ac:dyDescent="0.25">
      <c r="A7" t="s">
        <v>556</v>
      </c>
      <c r="B7" t="s">
        <v>557</v>
      </c>
      <c r="C7" t="s">
        <v>558</v>
      </c>
      <c r="D7" t="s">
        <v>540</v>
      </c>
      <c r="E7" t="s">
        <v>541</v>
      </c>
      <c r="F7">
        <v>45301</v>
      </c>
      <c r="G7">
        <v>45382</v>
      </c>
      <c r="H7" t="s">
        <v>559</v>
      </c>
      <c r="I7">
        <v>18000</v>
      </c>
      <c r="J7">
        <v>17100</v>
      </c>
      <c r="K7">
        <v>240000</v>
      </c>
      <c r="L7">
        <v>4800</v>
      </c>
      <c r="M7">
        <v>144</v>
      </c>
      <c r="N7">
        <v>21600</v>
      </c>
      <c r="O7">
        <v>130</v>
      </c>
      <c r="P7">
        <v>1.2</v>
      </c>
    </row>
    <row r="8" spans="1:16" x14ac:dyDescent="0.25">
      <c r="A8" t="s">
        <v>560</v>
      </c>
      <c r="B8" t="s">
        <v>561</v>
      </c>
      <c r="C8" t="s">
        <v>539</v>
      </c>
      <c r="D8" t="s">
        <v>549</v>
      </c>
      <c r="E8" t="s">
        <v>562</v>
      </c>
      <c r="F8">
        <v>45444</v>
      </c>
      <c r="G8">
        <v>45473</v>
      </c>
      <c r="H8" t="s">
        <v>542</v>
      </c>
      <c r="I8">
        <v>25000</v>
      </c>
      <c r="J8">
        <v>24500</v>
      </c>
      <c r="K8">
        <v>1200000</v>
      </c>
      <c r="L8">
        <v>24000</v>
      </c>
      <c r="M8">
        <v>720</v>
      </c>
      <c r="N8">
        <v>86400</v>
      </c>
      <c r="O8">
        <v>35</v>
      </c>
      <c r="P8">
        <v>3.5</v>
      </c>
    </row>
    <row r="9" spans="1:16" x14ac:dyDescent="0.25">
      <c r="A9" t="s">
        <v>563</v>
      </c>
      <c r="B9" t="s">
        <v>561</v>
      </c>
      <c r="C9" t="s">
        <v>544</v>
      </c>
      <c r="D9" t="s">
        <v>545</v>
      </c>
      <c r="E9" t="s">
        <v>562</v>
      </c>
      <c r="F9">
        <v>45444</v>
      </c>
      <c r="G9">
        <v>45473</v>
      </c>
      <c r="H9" t="s">
        <v>542</v>
      </c>
      <c r="I9">
        <v>30000</v>
      </c>
      <c r="J9">
        <v>28900</v>
      </c>
      <c r="K9">
        <v>520000</v>
      </c>
      <c r="L9">
        <v>26000</v>
      </c>
      <c r="M9">
        <v>845</v>
      </c>
      <c r="N9">
        <v>101400</v>
      </c>
      <c r="O9">
        <v>38</v>
      </c>
      <c r="P9">
        <v>3.2</v>
      </c>
    </row>
    <row r="10" spans="1:16" x14ac:dyDescent="0.25">
      <c r="A10" t="s">
        <v>564</v>
      </c>
      <c r="B10" t="s">
        <v>565</v>
      </c>
      <c r="C10" t="s">
        <v>558</v>
      </c>
      <c r="D10" t="s">
        <v>549</v>
      </c>
      <c r="E10" t="s">
        <v>562</v>
      </c>
      <c r="F10">
        <v>45483</v>
      </c>
      <c r="G10">
        <v>45504</v>
      </c>
      <c r="H10" t="s">
        <v>559</v>
      </c>
      <c r="I10">
        <v>12000</v>
      </c>
      <c r="J10">
        <v>11400</v>
      </c>
      <c r="K10">
        <v>180000</v>
      </c>
      <c r="L10">
        <v>3600</v>
      </c>
      <c r="M10">
        <v>108</v>
      </c>
      <c r="N10">
        <v>16200</v>
      </c>
      <c r="O10">
        <v>120</v>
      </c>
      <c r="P10">
        <v>1.5</v>
      </c>
    </row>
    <row r="11" spans="1:16" x14ac:dyDescent="0.25">
      <c r="A11" t="s">
        <v>566</v>
      </c>
      <c r="B11" t="s">
        <v>567</v>
      </c>
      <c r="C11" t="s">
        <v>548</v>
      </c>
      <c r="D11" t="s">
        <v>549</v>
      </c>
      <c r="E11" t="s">
        <v>562</v>
      </c>
      <c r="F11">
        <v>45413</v>
      </c>
      <c r="G11">
        <v>45424</v>
      </c>
      <c r="H11" t="s">
        <v>568</v>
      </c>
      <c r="I11">
        <v>9500</v>
      </c>
      <c r="J11">
        <v>9025</v>
      </c>
      <c r="K11">
        <v>420000</v>
      </c>
      <c r="L11">
        <v>8400</v>
      </c>
      <c r="M11">
        <v>252</v>
      </c>
      <c r="N11">
        <v>30240</v>
      </c>
      <c r="O11">
        <v>40</v>
      </c>
      <c r="P11">
        <v>3.2</v>
      </c>
    </row>
    <row r="12" spans="1:16" x14ac:dyDescent="0.25">
      <c r="A12" t="s">
        <v>569</v>
      </c>
      <c r="B12" t="s">
        <v>570</v>
      </c>
      <c r="C12" t="s">
        <v>571</v>
      </c>
      <c r="D12" t="s">
        <v>540</v>
      </c>
      <c r="E12" t="s">
        <v>562</v>
      </c>
      <c r="F12">
        <v>45432</v>
      </c>
      <c r="G12">
        <v>45439</v>
      </c>
      <c r="H12" t="s">
        <v>542</v>
      </c>
      <c r="I12">
        <v>15000</v>
      </c>
      <c r="J12">
        <v>14250</v>
      </c>
      <c r="K12">
        <v>780000</v>
      </c>
      <c r="L12">
        <v>23400</v>
      </c>
      <c r="M12">
        <v>702</v>
      </c>
      <c r="N12">
        <v>42120</v>
      </c>
      <c r="O12">
        <v>22</v>
      </c>
      <c r="P12">
        <v>2.8</v>
      </c>
    </row>
    <row r="13" spans="1:16" x14ac:dyDescent="0.25">
      <c r="A13" t="s">
        <v>572</v>
      </c>
      <c r="B13" t="s">
        <v>573</v>
      </c>
      <c r="C13" t="s">
        <v>544</v>
      </c>
      <c r="D13" t="s">
        <v>545</v>
      </c>
      <c r="E13" t="s">
        <v>562</v>
      </c>
      <c r="F13">
        <v>45397</v>
      </c>
      <c r="G13">
        <v>45473</v>
      </c>
      <c r="H13" t="s">
        <v>542</v>
      </c>
      <c r="I13">
        <v>22000</v>
      </c>
      <c r="J13">
        <v>21120</v>
      </c>
      <c r="K13">
        <v>380000</v>
      </c>
      <c r="L13">
        <v>19000</v>
      </c>
      <c r="M13">
        <v>627</v>
      </c>
      <c r="N13">
        <v>75240</v>
      </c>
      <c r="O13">
        <v>36</v>
      </c>
      <c r="P13">
        <v>3.4</v>
      </c>
    </row>
    <row r="14" spans="1:16" x14ac:dyDescent="0.25">
      <c r="A14" t="s">
        <v>574</v>
      </c>
      <c r="B14" t="s">
        <v>575</v>
      </c>
      <c r="C14" t="s">
        <v>571</v>
      </c>
      <c r="D14" t="s">
        <v>540</v>
      </c>
      <c r="E14" t="s">
        <v>576</v>
      </c>
      <c r="F14">
        <v>45519</v>
      </c>
      <c r="G14">
        <v>45550</v>
      </c>
      <c r="H14" t="s">
        <v>542</v>
      </c>
      <c r="I14">
        <v>18000</v>
      </c>
      <c r="J14">
        <v>17200</v>
      </c>
      <c r="K14">
        <v>950000</v>
      </c>
      <c r="L14">
        <v>28500</v>
      </c>
      <c r="M14">
        <v>855</v>
      </c>
      <c r="N14">
        <v>51300</v>
      </c>
      <c r="O14">
        <v>25</v>
      </c>
      <c r="P14">
        <v>2.8</v>
      </c>
    </row>
    <row r="15" spans="1:16" x14ac:dyDescent="0.25">
      <c r="A15" t="s">
        <v>577</v>
      </c>
      <c r="B15" t="s">
        <v>575</v>
      </c>
      <c r="C15" t="s">
        <v>544</v>
      </c>
      <c r="D15" t="s">
        <v>545</v>
      </c>
      <c r="E15" t="s">
        <v>576</v>
      </c>
      <c r="F15">
        <v>45519</v>
      </c>
      <c r="G15">
        <v>45550</v>
      </c>
      <c r="H15" t="s">
        <v>568</v>
      </c>
      <c r="I15">
        <v>22000</v>
      </c>
      <c r="J15">
        <v>21500</v>
      </c>
      <c r="K15">
        <v>480000</v>
      </c>
      <c r="L15">
        <v>21600</v>
      </c>
      <c r="M15">
        <v>648</v>
      </c>
      <c r="N15">
        <v>77760</v>
      </c>
      <c r="O15">
        <v>35</v>
      </c>
      <c r="P15">
        <v>3.5</v>
      </c>
    </row>
    <row r="16" spans="1:16" x14ac:dyDescent="0.25">
      <c r="A16" t="s">
        <v>578</v>
      </c>
      <c r="B16" t="s">
        <v>579</v>
      </c>
      <c r="C16" t="s">
        <v>539</v>
      </c>
      <c r="D16" t="s">
        <v>549</v>
      </c>
      <c r="E16" t="s">
        <v>576</v>
      </c>
      <c r="F16">
        <v>45534</v>
      </c>
      <c r="G16">
        <v>45537</v>
      </c>
      <c r="H16" t="s">
        <v>542</v>
      </c>
      <c r="I16">
        <v>14000</v>
      </c>
      <c r="J16">
        <v>13300</v>
      </c>
      <c r="K16">
        <v>720000</v>
      </c>
      <c r="L16">
        <v>14400</v>
      </c>
      <c r="M16">
        <v>432</v>
      </c>
      <c r="N16">
        <v>51840</v>
      </c>
      <c r="O16">
        <v>32</v>
      </c>
      <c r="P16">
        <v>3.8</v>
      </c>
    </row>
    <row r="17" spans="1:16" x14ac:dyDescent="0.25">
      <c r="A17" t="s">
        <v>580</v>
      </c>
      <c r="B17" t="s">
        <v>581</v>
      </c>
      <c r="C17" t="s">
        <v>548</v>
      </c>
      <c r="D17" t="s">
        <v>540</v>
      </c>
      <c r="E17" t="s">
        <v>576</v>
      </c>
      <c r="F17">
        <v>45545</v>
      </c>
      <c r="G17">
        <v>45565</v>
      </c>
      <c r="H17" t="s">
        <v>550</v>
      </c>
      <c r="I17">
        <v>11000</v>
      </c>
      <c r="J17">
        <v>10450</v>
      </c>
      <c r="K17">
        <v>390000</v>
      </c>
      <c r="L17">
        <v>7800</v>
      </c>
      <c r="M17">
        <v>234</v>
      </c>
      <c r="N17">
        <v>23400</v>
      </c>
      <c r="O17">
        <v>48</v>
      </c>
      <c r="P17">
        <v>2.1</v>
      </c>
    </row>
    <row r="18" spans="1:16" x14ac:dyDescent="0.25">
      <c r="A18" t="s">
        <v>582</v>
      </c>
      <c r="B18" t="s">
        <v>583</v>
      </c>
      <c r="C18" t="s">
        <v>39</v>
      </c>
      <c r="D18" t="s">
        <v>549</v>
      </c>
      <c r="E18" t="s">
        <v>576</v>
      </c>
      <c r="F18">
        <v>45488</v>
      </c>
      <c r="G18">
        <v>45565</v>
      </c>
      <c r="H18" t="s">
        <v>542</v>
      </c>
      <c r="I18">
        <v>4500</v>
      </c>
      <c r="J18">
        <v>4275</v>
      </c>
      <c r="K18">
        <v>180000</v>
      </c>
      <c r="L18">
        <v>12600</v>
      </c>
      <c r="M18">
        <v>378</v>
      </c>
      <c r="N18">
        <v>45360</v>
      </c>
      <c r="O18">
        <v>13</v>
      </c>
      <c r="P18">
        <v>9.5</v>
      </c>
    </row>
    <row r="19" spans="1:16" x14ac:dyDescent="0.25">
      <c r="A19" t="s">
        <v>584</v>
      </c>
      <c r="B19" t="s">
        <v>585</v>
      </c>
      <c r="C19" t="s">
        <v>558</v>
      </c>
      <c r="D19" t="s">
        <v>540</v>
      </c>
      <c r="E19" t="s">
        <v>576</v>
      </c>
      <c r="F19">
        <v>45505</v>
      </c>
      <c r="G19">
        <v>45535</v>
      </c>
      <c r="H19" t="s">
        <v>555</v>
      </c>
      <c r="I19">
        <v>16000</v>
      </c>
      <c r="J19">
        <v>15200</v>
      </c>
      <c r="K19">
        <v>210000</v>
      </c>
      <c r="L19">
        <v>4200</v>
      </c>
      <c r="M19">
        <v>126</v>
      </c>
      <c r="N19">
        <v>18900</v>
      </c>
      <c r="O19">
        <v>135</v>
      </c>
      <c r="P19">
        <v>1.3</v>
      </c>
    </row>
    <row r="20" spans="1:16" x14ac:dyDescent="0.25">
      <c r="A20" t="s">
        <v>586</v>
      </c>
      <c r="B20" t="s">
        <v>587</v>
      </c>
      <c r="C20" t="s">
        <v>539</v>
      </c>
      <c r="D20" t="s">
        <v>549</v>
      </c>
      <c r="E20" t="s">
        <v>588</v>
      </c>
      <c r="F20">
        <v>45616</v>
      </c>
      <c r="G20">
        <v>45626</v>
      </c>
      <c r="H20" t="s">
        <v>542</v>
      </c>
      <c r="I20">
        <v>35000</v>
      </c>
      <c r="J20">
        <v>34300</v>
      </c>
      <c r="K20">
        <v>1800000</v>
      </c>
      <c r="L20">
        <v>36000</v>
      </c>
      <c r="M20">
        <v>1080</v>
      </c>
      <c r="N20">
        <v>162000</v>
      </c>
      <c r="O20">
        <v>34</v>
      </c>
      <c r="P20">
        <v>4.5</v>
      </c>
    </row>
    <row r="21" spans="1:16" x14ac:dyDescent="0.25">
      <c r="A21" t="s">
        <v>589</v>
      </c>
      <c r="B21" t="s">
        <v>587</v>
      </c>
      <c r="C21" t="s">
        <v>544</v>
      </c>
      <c r="D21" t="s">
        <v>545</v>
      </c>
      <c r="E21" t="s">
        <v>588</v>
      </c>
      <c r="F21">
        <v>45616</v>
      </c>
      <c r="G21">
        <v>45626</v>
      </c>
      <c r="H21" t="s">
        <v>542</v>
      </c>
      <c r="I21">
        <v>40000</v>
      </c>
      <c r="J21">
        <v>39200</v>
      </c>
      <c r="K21">
        <v>680000</v>
      </c>
      <c r="L21">
        <v>34000</v>
      </c>
      <c r="M21">
        <v>1156</v>
      </c>
      <c r="N21">
        <v>150280</v>
      </c>
      <c r="O21">
        <v>36</v>
      </c>
      <c r="P21">
        <v>3.8</v>
      </c>
    </row>
    <row r="22" spans="1:16" x14ac:dyDescent="0.25">
      <c r="A22" t="s">
        <v>590</v>
      </c>
      <c r="B22" t="s">
        <v>591</v>
      </c>
      <c r="C22" t="s">
        <v>548</v>
      </c>
      <c r="D22" t="s">
        <v>549</v>
      </c>
      <c r="E22" t="s">
        <v>588</v>
      </c>
      <c r="F22">
        <v>45627</v>
      </c>
      <c r="G22">
        <v>45646</v>
      </c>
      <c r="H22" t="s">
        <v>542</v>
      </c>
      <c r="I22">
        <v>28000</v>
      </c>
      <c r="J22">
        <v>26600</v>
      </c>
      <c r="K22">
        <v>1100000</v>
      </c>
      <c r="L22">
        <v>22000</v>
      </c>
      <c r="M22">
        <v>660</v>
      </c>
      <c r="N22">
        <v>79200</v>
      </c>
      <c r="O22">
        <v>42</v>
      </c>
      <c r="P22">
        <v>2.8</v>
      </c>
    </row>
    <row r="23" spans="1:16" x14ac:dyDescent="0.25">
      <c r="A23" t="s">
        <v>592</v>
      </c>
      <c r="B23" t="s">
        <v>593</v>
      </c>
      <c r="C23" t="s">
        <v>571</v>
      </c>
      <c r="D23" t="s">
        <v>549</v>
      </c>
      <c r="E23" t="s">
        <v>588</v>
      </c>
      <c r="F23">
        <v>45628</v>
      </c>
      <c r="G23">
        <v>45628</v>
      </c>
      <c r="H23" t="s">
        <v>542</v>
      </c>
      <c r="I23">
        <v>20000</v>
      </c>
      <c r="J23">
        <v>19600</v>
      </c>
      <c r="K23">
        <v>1050000</v>
      </c>
      <c r="L23">
        <v>31500</v>
      </c>
      <c r="M23">
        <v>945</v>
      </c>
      <c r="N23">
        <v>66150</v>
      </c>
      <c r="O23">
        <v>22</v>
      </c>
      <c r="P23">
        <v>3.2</v>
      </c>
    </row>
    <row r="24" spans="1:16" x14ac:dyDescent="0.25">
      <c r="A24" t="s">
        <v>594</v>
      </c>
      <c r="B24" t="s">
        <v>595</v>
      </c>
      <c r="C24" t="s">
        <v>539</v>
      </c>
      <c r="D24" t="s">
        <v>549</v>
      </c>
      <c r="E24" t="s">
        <v>588</v>
      </c>
      <c r="F24">
        <v>45652</v>
      </c>
      <c r="G24">
        <v>45657</v>
      </c>
      <c r="H24" t="s">
        <v>555</v>
      </c>
      <c r="I24">
        <v>10000</v>
      </c>
      <c r="J24">
        <v>9500</v>
      </c>
      <c r="K24">
        <v>480000</v>
      </c>
      <c r="L24">
        <v>9600</v>
      </c>
      <c r="M24">
        <v>288</v>
      </c>
      <c r="N24">
        <v>31680</v>
      </c>
      <c r="O24">
        <v>36</v>
      </c>
      <c r="P24">
        <v>3.2</v>
      </c>
    </row>
    <row r="25" spans="1:16" x14ac:dyDescent="0.25">
      <c r="A25" t="s">
        <v>596</v>
      </c>
      <c r="B25" t="s">
        <v>597</v>
      </c>
      <c r="C25" t="s">
        <v>39</v>
      </c>
      <c r="D25" t="s">
        <v>549</v>
      </c>
      <c r="E25" t="s">
        <v>588</v>
      </c>
      <c r="F25">
        <v>45611</v>
      </c>
      <c r="G25">
        <v>45651</v>
      </c>
      <c r="H25" t="s">
        <v>542</v>
      </c>
      <c r="I25">
        <v>5500</v>
      </c>
      <c r="J25">
        <v>5225</v>
      </c>
      <c r="K25">
        <v>220000</v>
      </c>
      <c r="L25">
        <v>15400</v>
      </c>
      <c r="M25">
        <v>462</v>
      </c>
      <c r="N25">
        <v>60060</v>
      </c>
      <c r="O25">
        <v>12.5</v>
      </c>
      <c r="P25">
        <v>10.5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I47"/>
  <sheetViews>
    <sheetView topLeftCell="A16" zoomScaleNormal="100" workbookViewId="0">
      <selection activeCell="E48" sqref="E48"/>
    </sheetView>
  </sheetViews>
  <sheetFormatPr defaultColWidth="8.7109375" defaultRowHeight="15" x14ac:dyDescent="0.25"/>
  <cols>
    <col min="1" max="3" width="20" customWidth="1"/>
    <col min="4" max="4" width="30.85546875" customWidth="1"/>
    <col min="5" max="5" width="41.5703125" bestFit="1" customWidth="1"/>
    <col min="6" max="8" width="20" customWidth="1"/>
    <col min="9" max="9" width="16.28515625" customWidth="1"/>
    <col min="10" max="10" width="23.5703125" customWidth="1"/>
  </cols>
  <sheetData>
    <row r="1" spans="1:8" ht="15.75" customHeight="1" x14ac:dyDescent="0.25">
      <c r="A1" s="59" t="s">
        <v>367</v>
      </c>
      <c r="B1" s="59"/>
      <c r="C1" s="59"/>
      <c r="D1" s="59"/>
      <c r="E1" s="59"/>
      <c r="F1" s="59"/>
      <c r="G1" s="59"/>
      <c r="H1" s="59"/>
    </row>
    <row r="3" spans="1:8" ht="15" customHeight="1" x14ac:dyDescent="0.25">
      <c r="A3" s="60" t="s">
        <v>368</v>
      </c>
      <c r="B3" s="60"/>
      <c r="C3" s="60"/>
      <c r="D3" s="60"/>
      <c r="E3" s="60"/>
      <c r="F3" s="60"/>
      <c r="G3" s="60"/>
      <c r="H3" s="60"/>
    </row>
    <row r="5" spans="1:8" ht="15.75" customHeight="1" x14ac:dyDescent="0.25">
      <c r="A5" s="5" t="s">
        <v>218</v>
      </c>
    </row>
    <row r="6" spans="1:8" ht="15" customHeight="1" x14ac:dyDescent="0.25">
      <c r="A6" s="4" t="s">
        <v>219</v>
      </c>
      <c r="B6" s="56" t="s">
        <v>220</v>
      </c>
      <c r="C6" s="56"/>
      <c r="D6" s="56"/>
      <c r="E6" s="56" t="s">
        <v>221</v>
      </c>
      <c r="F6" s="56"/>
      <c r="G6" s="56"/>
      <c r="H6" s="56"/>
    </row>
    <row r="7" spans="1:8" ht="15" customHeight="1" x14ac:dyDescent="0.25">
      <c r="A7" s="13" t="s">
        <v>369</v>
      </c>
      <c r="B7" s="54" t="s">
        <v>370</v>
      </c>
      <c r="C7" s="54"/>
      <c r="D7" s="54"/>
      <c r="E7" s="54" t="s">
        <v>371</v>
      </c>
      <c r="F7" s="54"/>
      <c r="G7" s="54"/>
      <c r="H7" s="54"/>
    </row>
    <row r="8" spans="1:8" ht="15" customHeight="1" x14ac:dyDescent="0.25">
      <c r="A8" s="13" t="s">
        <v>372</v>
      </c>
      <c r="B8" s="54" t="s">
        <v>373</v>
      </c>
      <c r="C8" s="54"/>
      <c r="D8" s="54"/>
      <c r="E8" s="54" t="s">
        <v>374</v>
      </c>
      <c r="F8" s="54"/>
      <c r="G8" s="54"/>
      <c r="H8" s="54"/>
    </row>
    <row r="9" spans="1:8" ht="15" customHeight="1" x14ac:dyDescent="0.25">
      <c r="A9" s="13" t="s">
        <v>375</v>
      </c>
      <c r="B9" s="54" t="s">
        <v>376</v>
      </c>
      <c r="C9" s="54"/>
      <c r="D9" s="54"/>
      <c r="E9" s="54" t="s">
        <v>377</v>
      </c>
      <c r="F9" s="54"/>
      <c r="G9" s="54"/>
      <c r="H9" s="54"/>
    </row>
    <row r="10" spans="1:8" ht="15" customHeight="1" x14ac:dyDescent="0.25">
      <c r="A10" s="13" t="s">
        <v>378</v>
      </c>
      <c r="B10" s="54" t="s">
        <v>379</v>
      </c>
      <c r="C10" s="54"/>
      <c r="D10" s="54"/>
      <c r="E10" s="54" t="s">
        <v>380</v>
      </c>
      <c r="F10" s="54"/>
      <c r="G10" s="54"/>
      <c r="H10" s="54"/>
    </row>
    <row r="11" spans="1:8" ht="15" customHeight="1" x14ac:dyDescent="0.25">
      <c r="A11" s="13" t="s">
        <v>381</v>
      </c>
      <c r="B11" s="54" t="s">
        <v>382</v>
      </c>
      <c r="C11" s="54"/>
      <c r="D11" s="54"/>
      <c r="E11" s="54" t="s">
        <v>383</v>
      </c>
      <c r="F11" s="54"/>
      <c r="G11" s="54"/>
      <c r="H11" s="54"/>
    </row>
    <row r="12" spans="1:8" ht="15" customHeight="1" x14ac:dyDescent="0.25">
      <c r="A12" s="13" t="s">
        <v>384</v>
      </c>
      <c r="B12" s="54" t="s">
        <v>385</v>
      </c>
      <c r="C12" s="54"/>
      <c r="D12" s="54"/>
      <c r="E12" s="54" t="s">
        <v>386</v>
      </c>
      <c r="F12" s="54"/>
      <c r="G12" s="54"/>
      <c r="H12" s="54"/>
    </row>
    <row r="13" spans="1:8" ht="15" customHeight="1" x14ac:dyDescent="0.25">
      <c r="A13" s="13" t="s">
        <v>387</v>
      </c>
      <c r="B13" s="54" t="s">
        <v>388</v>
      </c>
      <c r="C13" s="54"/>
      <c r="D13" s="54"/>
      <c r="E13" s="54" t="s">
        <v>389</v>
      </c>
      <c r="F13" s="54"/>
      <c r="G13" s="54"/>
      <c r="H13" s="54"/>
    </row>
    <row r="14" spans="1:8" ht="15" customHeight="1" x14ac:dyDescent="0.25">
      <c r="A14" s="13" t="s">
        <v>390</v>
      </c>
      <c r="B14" s="54" t="s">
        <v>391</v>
      </c>
      <c r="C14" s="54"/>
      <c r="D14" s="54"/>
      <c r="E14" s="54" t="s">
        <v>392</v>
      </c>
      <c r="F14" s="54"/>
      <c r="G14" s="54"/>
      <c r="H14" s="54"/>
    </row>
    <row r="15" spans="1:8" ht="15" customHeight="1" x14ac:dyDescent="0.25">
      <c r="A15" s="13" t="s">
        <v>393</v>
      </c>
      <c r="B15" s="54" t="s">
        <v>394</v>
      </c>
      <c r="C15" s="54"/>
      <c r="D15" s="54"/>
      <c r="E15" s="54" t="s">
        <v>395</v>
      </c>
      <c r="F15" s="54"/>
      <c r="G15" s="54"/>
      <c r="H15" s="54"/>
    </row>
    <row r="18" spans="1:9" ht="15.75" customHeight="1" x14ac:dyDescent="0.25">
      <c r="A18" s="5" t="s">
        <v>396</v>
      </c>
    </row>
    <row r="19" spans="1:9" ht="15" customHeight="1" x14ac:dyDescent="0.25">
      <c r="A19" s="15" t="s">
        <v>397</v>
      </c>
      <c r="B19" s="15" t="s">
        <v>398</v>
      </c>
      <c r="C19" s="15" t="s">
        <v>399</v>
      </c>
      <c r="D19" s="15" t="s">
        <v>400</v>
      </c>
      <c r="E19" s="45" t="s">
        <v>511</v>
      </c>
    </row>
    <row r="20" spans="1:9" ht="15" customHeight="1" x14ac:dyDescent="0.25">
      <c r="A20" s="20" t="s">
        <v>64</v>
      </c>
      <c r="B20" s="21" t="str">
        <f>LEFT(A20,FIND(" ",A20)-1)</f>
        <v>Sarah</v>
      </c>
      <c r="C20" s="21" t="str">
        <f>MID(A20,FIND(" ",A20)+1,100)</f>
        <v>Johnson</v>
      </c>
      <c r="D20" s="21" t="str">
        <f>LOWER(B20)&amp;"."&amp;LOWER(C20)&amp;"@company.com"</f>
        <v>sarah.johnson@company.com</v>
      </c>
      <c r="E20" t="str">
        <f>_xlfn.CONCAT(B20," ",C20," ",D20)</f>
        <v>Sarah Johnson sarah.johnson@company.com</v>
      </c>
    </row>
    <row r="21" spans="1:9" ht="15" customHeight="1" x14ac:dyDescent="0.25">
      <c r="A21" s="20" t="s">
        <v>74</v>
      </c>
      <c r="B21" s="21" t="str">
        <f>LEFT(A21,FIND(" ",A21)-1)</f>
        <v>Mike</v>
      </c>
      <c r="C21" s="21" t="str">
        <f>MID(A21,FIND(" ",A21)+1,100)</f>
        <v>Chen</v>
      </c>
      <c r="D21" s="21" t="str">
        <f>LOWER(B21)&amp;"."&amp;LOWER(C21)&amp;"@company.com"</f>
        <v>mike.chen@company.com</v>
      </c>
      <c r="E21" t="str">
        <f t="shared" ref="E21:E24" si="0">_xlfn.CONCAT(B21," ",C21," ",D21)</f>
        <v>Mike Chen mike.chen@company.com</v>
      </c>
    </row>
    <row r="22" spans="1:9" ht="15" customHeight="1" x14ac:dyDescent="0.25">
      <c r="A22" s="20" t="s">
        <v>132</v>
      </c>
      <c r="B22" s="21" t="str">
        <f>LEFT(A22,FIND(" ",A22)-1)</f>
        <v>Emma</v>
      </c>
      <c r="C22" s="21" t="str">
        <f>MID(A22,FIND(" ",A22)+1,100)</f>
        <v>Wilson</v>
      </c>
      <c r="D22" s="21" t="str">
        <f>LOWER(B22)&amp;"."&amp;LOWER(C22)&amp;"@company.com"</f>
        <v>emma.wilson@company.com</v>
      </c>
      <c r="E22" t="str">
        <f t="shared" si="0"/>
        <v>Emma Wilson emma.wilson@company.com</v>
      </c>
    </row>
    <row r="23" spans="1:9" ht="15" customHeight="1" x14ac:dyDescent="0.25">
      <c r="A23" s="20" t="s">
        <v>148</v>
      </c>
      <c r="B23" s="21" t="str">
        <f>LEFT(A23,FIND(" ",A23)-1)</f>
        <v>James</v>
      </c>
      <c r="C23" s="21" t="str">
        <f>MID(A23,FIND(" ",A23)+1,100)</f>
        <v>Lee</v>
      </c>
      <c r="D23" s="21" t="str">
        <f>LOWER(B23)&amp;"."&amp;LOWER(C23)&amp;"@company.com"</f>
        <v>james.lee@company.com</v>
      </c>
      <c r="E23" t="str">
        <f t="shared" si="0"/>
        <v>James Lee james.lee@company.com</v>
      </c>
    </row>
    <row r="24" spans="1:9" ht="15" customHeight="1" x14ac:dyDescent="0.25">
      <c r="A24" s="20" t="s">
        <v>97</v>
      </c>
      <c r="B24" s="21" t="str">
        <f>LEFT(A24,FIND(" ",A24)-1)</f>
        <v>Priya</v>
      </c>
      <c r="C24" s="21" t="str">
        <f>MID(A24,FIND(" ",A24)+1,100)</f>
        <v>Patel</v>
      </c>
      <c r="D24" s="21" t="str">
        <f>LOWER(B24)&amp;"."&amp;LOWER(C24)&amp;"@company.com"</f>
        <v>priya.patel@company.com</v>
      </c>
      <c r="E24" t="str">
        <f t="shared" si="0"/>
        <v>Priya Patel priya.patel@company.com</v>
      </c>
    </row>
    <row r="27" spans="1:9" ht="15.75" customHeight="1" x14ac:dyDescent="0.25">
      <c r="A27" s="5" t="s">
        <v>401</v>
      </c>
    </row>
    <row r="28" spans="1:9" ht="15" customHeight="1" x14ac:dyDescent="0.25">
      <c r="A28" s="15" t="s">
        <v>402</v>
      </c>
      <c r="B28" s="15" t="s">
        <v>403</v>
      </c>
      <c r="C28" s="15" t="s">
        <v>404</v>
      </c>
    </row>
    <row r="29" spans="1:9" ht="15" customHeight="1" x14ac:dyDescent="0.25">
      <c r="A29" s="20" t="s">
        <v>405</v>
      </c>
      <c r="B29" s="21" t="str">
        <f>PROPER(TRIM(A29))</f>
        <v>John Smith</v>
      </c>
      <c r="C29" s="22" t="s">
        <v>406</v>
      </c>
    </row>
    <row r="30" spans="1:9" ht="15" customHeight="1" x14ac:dyDescent="0.25">
      <c r="A30" s="20" t="s">
        <v>407</v>
      </c>
      <c r="B30" s="21" t="str">
        <f>PROPER(A30)</f>
        <v>Sarah Jones</v>
      </c>
      <c r="C30" s="22" t="s">
        <v>408</v>
      </c>
      <c r="G30" s="25" t="s">
        <v>378</v>
      </c>
      <c r="H30" s="25" t="s">
        <v>381</v>
      </c>
      <c r="I30" s="25" t="s">
        <v>233</v>
      </c>
    </row>
    <row r="31" spans="1:9" ht="15" customHeight="1" x14ac:dyDescent="0.25">
      <c r="A31" s="20" t="s">
        <v>409</v>
      </c>
      <c r="B31" s="21" t="str">
        <f>UPPER(LEFT(A31,1))&amp;MID(A31,2,FIND(".",A31)-2)&amp;" "&amp;UPPER(MID(A31,FIND(".",A31)+1,1))&amp;MID(A31,FIND(".",A31)+2,100)</f>
        <v>Mike Chen</v>
      </c>
      <c r="C31" s="22" t="s">
        <v>410</v>
      </c>
      <c r="G31">
        <f>LEN(D38)</f>
        <v>13</v>
      </c>
      <c r="H31">
        <f>FIND(" ",D38)</f>
        <v>6</v>
      </c>
      <c r="I31">
        <f>G31-H31</f>
        <v>7</v>
      </c>
    </row>
    <row r="32" spans="1:9" ht="15" customHeight="1" x14ac:dyDescent="0.25">
      <c r="A32" s="20" t="s">
        <v>130</v>
      </c>
      <c r="B32" s="21" t="str">
        <f>RIGHT(A32,4)</f>
        <v>1045</v>
      </c>
      <c r="C32" s="22" t="s">
        <v>411</v>
      </c>
      <c r="G32">
        <f>LEN(D39)</f>
        <v>9</v>
      </c>
      <c r="H32">
        <f>FIND(" ",D39)</f>
        <v>5</v>
      </c>
      <c r="I32">
        <f>G32-H32</f>
        <v>4</v>
      </c>
    </row>
    <row r="33" spans="1:9" ht="15" customHeight="1" x14ac:dyDescent="0.25">
      <c r="A33" s="20" t="s">
        <v>130</v>
      </c>
      <c r="B33" s="21" t="str">
        <f>LEFT(A33,3)</f>
        <v>ORD</v>
      </c>
      <c r="C33" s="22" t="s">
        <v>412</v>
      </c>
      <c r="G33">
        <f>LEN(D40)</f>
        <v>14</v>
      </c>
      <c r="H33">
        <f>FIND(" ",D40)</f>
        <v>8</v>
      </c>
      <c r="I33">
        <f>G33-H33</f>
        <v>6</v>
      </c>
    </row>
    <row r="36" spans="1:9" ht="15.75" customHeight="1" x14ac:dyDescent="0.25">
      <c r="A36" s="5" t="s">
        <v>413</v>
      </c>
    </row>
    <row r="37" spans="1:9" ht="15" customHeight="1" x14ac:dyDescent="0.25">
      <c r="A37" s="15" t="s">
        <v>414</v>
      </c>
      <c r="B37" s="15" t="s">
        <v>415</v>
      </c>
      <c r="C37" s="15" t="s">
        <v>416</v>
      </c>
      <c r="D37" s="15" t="s">
        <v>417</v>
      </c>
      <c r="E37" s="45" t="s">
        <v>513</v>
      </c>
      <c r="F37" s="45" t="s">
        <v>514</v>
      </c>
    </row>
    <row r="38" spans="1:9" ht="15" customHeight="1" x14ac:dyDescent="0.25">
      <c r="A38" s="20" t="s">
        <v>418</v>
      </c>
      <c r="B38" s="20" t="s">
        <v>419</v>
      </c>
      <c r="C38" s="21" t="str">
        <f>A38&amp;" "&amp;B38</f>
        <v>Sarah Johnson</v>
      </c>
      <c r="D38" s="21" t="str">
        <f>CONCATENATE(A38," ",B38)</f>
        <v>Sarah Johnson</v>
      </c>
      <c r="E38" t="str">
        <f>LEFT(D38,FIND(" ",D38)-1)</f>
        <v>Sarah</v>
      </c>
      <c r="F38" t="str">
        <f>RIGHT(D38,LEN(D38)-FIND(" ",D38))</f>
        <v>Johnson</v>
      </c>
      <c r="G38" t="str">
        <f>LEFT(D38, FIND(" ", D38 &amp; " ") - 1)</f>
        <v>Sarah</v>
      </c>
    </row>
    <row r="39" spans="1:9" ht="15" customHeight="1" x14ac:dyDescent="0.25">
      <c r="A39" s="20" t="s">
        <v>420</v>
      </c>
      <c r="B39" s="20" t="s">
        <v>421</v>
      </c>
      <c r="C39" s="21" t="str">
        <f>A39&amp;" "&amp;B39</f>
        <v>Mike Chen</v>
      </c>
      <c r="D39" s="21" t="str">
        <f>CONCATENATE(A39," ",B39)</f>
        <v>Mike Chen</v>
      </c>
      <c r="E39" t="str">
        <f t="shared" ref="E39:E40" si="1">LEFT(D39,FIND(" ",D39)-1)</f>
        <v>Mike</v>
      </c>
      <c r="F39" t="str">
        <f t="shared" ref="F39:F40" si="2">RIGHT(D39,LEN(D39)-FIND(" ",D39))</f>
        <v>Chen</v>
      </c>
      <c r="G39" t="str">
        <f t="shared" ref="G39:G40" si="3">LEFT(D39, FIND(" ", D39 &amp; " ") - 1)</f>
        <v>Mike</v>
      </c>
    </row>
    <row r="40" spans="1:9" ht="15" customHeight="1" x14ac:dyDescent="0.25">
      <c r="A40" s="20" t="s">
        <v>422</v>
      </c>
      <c r="B40" s="20" t="s">
        <v>423</v>
      </c>
      <c r="C40" s="21" t="str">
        <f>A40&amp;" "&amp;B40</f>
        <v>Emma Wilson</v>
      </c>
      <c r="D40" s="21" t="s">
        <v>512</v>
      </c>
      <c r="E40" t="str">
        <f t="shared" si="1"/>
        <v>Emmasss</v>
      </c>
      <c r="F40" t="str">
        <f t="shared" si="2"/>
        <v>Wilson</v>
      </c>
      <c r="G40" t="str">
        <f t="shared" si="3"/>
        <v>Emmasss</v>
      </c>
    </row>
    <row r="43" spans="1:9" ht="15.75" customHeight="1" x14ac:dyDescent="0.25">
      <c r="A43" s="5" t="s">
        <v>239</v>
      </c>
    </row>
    <row r="44" spans="1:9" ht="15" customHeight="1" x14ac:dyDescent="0.25">
      <c r="A44" s="56" t="s">
        <v>240</v>
      </c>
      <c r="B44" s="56"/>
      <c r="C44" s="56"/>
      <c r="D44" s="56"/>
      <c r="E44" s="56" t="s">
        <v>241</v>
      </c>
      <c r="F44" s="56"/>
      <c r="G44" s="56"/>
      <c r="H44" s="56"/>
    </row>
    <row r="45" spans="1:9" ht="15" customHeight="1" x14ac:dyDescent="0.25">
      <c r="A45" s="54" t="s">
        <v>424</v>
      </c>
      <c r="B45" s="54"/>
      <c r="C45" s="54"/>
      <c r="D45" s="54"/>
      <c r="E45" s="53" t="str">
        <f>RIGHT('Sales Data'!A7,4)</f>
        <v>1088</v>
      </c>
      <c r="F45" s="53"/>
      <c r="G45" s="53"/>
      <c r="H45" s="53"/>
    </row>
    <row r="46" spans="1:9" ht="15" customHeight="1" x14ac:dyDescent="0.25">
      <c r="A46" s="54" t="s">
        <v>425</v>
      </c>
      <c r="B46" s="54"/>
      <c r="C46" s="54"/>
      <c r="D46" s="54"/>
      <c r="E46" s="53" t="str">
        <f>_xlfn.CONCAT('Sales Data'!E14, " ",'Sales Data'!F14)</f>
        <v>Sydney NSW</v>
      </c>
      <c r="F46" s="53"/>
      <c r="G46" s="53"/>
      <c r="H46" s="53"/>
    </row>
    <row r="47" spans="1:9" ht="15" customHeight="1" x14ac:dyDescent="0.25">
      <c r="A47" s="54" t="s">
        <v>426</v>
      </c>
      <c r="B47" s="54"/>
      <c r="C47" s="54"/>
      <c r="D47" s="54"/>
      <c r="E47" s="53" t="str">
        <f>TRIM("  MESSY   DATA  ")</f>
        <v>MESSY DATA</v>
      </c>
      <c r="F47" s="53"/>
      <c r="G47" s="53"/>
      <c r="H47" s="53"/>
    </row>
  </sheetData>
  <mergeCells count="30">
    <mergeCell ref="A1:H1"/>
    <mergeCell ref="A3:H3"/>
    <mergeCell ref="B6:D6"/>
    <mergeCell ref="E6:H6"/>
    <mergeCell ref="B7:D7"/>
    <mergeCell ref="E7:H7"/>
    <mergeCell ref="B8:D8"/>
    <mergeCell ref="E8:H8"/>
    <mergeCell ref="B9:D9"/>
    <mergeCell ref="E9:H9"/>
    <mergeCell ref="B10:D10"/>
    <mergeCell ref="E10:H10"/>
    <mergeCell ref="B11:D11"/>
    <mergeCell ref="E11:H11"/>
    <mergeCell ref="B12:D12"/>
    <mergeCell ref="E12:H12"/>
    <mergeCell ref="B13:D13"/>
    <mergeCell ref="E13:H13"/>
    <mergeCell ref="B14:D14"/>
    <mergeCell ref="E14:H14"/>
    <mergeCell ref="B15:D15"/>
    <mergeCell ref="E15:H15"/>
    <mergeCell ref="A44:D44"/>
    <mergeCell ref="E44:H44"/>
    <mergeCell ref="A45:D45"/>
    <mergeCell ref="E45:H45"/>
    <mergeCell ref="A46:D46"/>
    <mergeCell ref="E46:H46"/>
    <mergeCell ref="A47:D47"/>
    <mergeCell ref="E47:H47"/>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410F-1C71-474B-91EF-095357790DA2}">
  <dimension ref="A1:Q25"/>
  <sheetViews>
    <sheetView topLeftCell="H1" workbookViewId="0"/>
  </sheetViews>
  <sheetFormatPr defaultRowHeight="15" x14ac:dyDescent="0.25"/>
  <cols>
    <col min="1" max="1" width="18.140625" bestFit="1" customWidth="1"/>
    <col min="2" max="2" width="20.5703125" bestFit="1" customWidth="1"/>
    <col min="3" max="3" width="25.28515625" bestFit="1" customWidth="1"/>
    <col min="4" max="4" width="18.42578125" bestFit="1" customWidth="1"/>
    <col min="5" max="5" width="14" bestFit="1" customWidth="1"/>
    <col min="6" max="6" width="15.140625" bestFit="1" customWidth="1"/>
    <col min="7" max="7" width="17.5703125" bestFit="1" customWidth="1"/>
    <col min="8" max="8" width="18.5703125" bestFit="1" customWidth="1"/>
    <col min="9" max="9" width="22.42578125" bestFit="1" customWidth="1"/>
    <col min="10" max="10" width="18.42578125" bestFit="1" customWidth="1"/>
    <col min="11" max="11" width="20.5703125" bestFit="1" customWidth="1"/>
    <col min="12" max="12" width="33.140625" bestFit="1" customWidth="1"/>
    <col min="13" max="13" width="29.28515625" bestFit="1" customWidth="1"/>
    <col min="14" max="14" width="25.7109375" bestFit="1" customWidth="1"/>
    <col min="15" max="15" width="16.140625" bestFit="1" customWidth="1"/>
    <col min="16" max="16" width="19.140625" bestFit="1" customWidth="1"/>
    <col min="17" max="17" width="26.42578125" bestFit="1" customWidth="1"/>
  </cols>
  <sheetData>
    <row r="1" spans="1:17" x14ac:dyDescent="0.25">
      <c r="A1" s="67" t="s">
        <v>620</v>
      </c>
    </row>
    <row r="3" spans="1:17" x14ac:dyDescent="0.25">
      <c r="A3" t="s">
        <v>603</v>
      </c>
      <c r="B3" t="s">
        <v>604</v>
      </c>
      <c r="C3" t="s">
        <v>605</v>
      </c>
      <c r="D3" t="s">
        <v>606</v>
      </c>
      <c r="E3" t="s">
        <v>607</v>
      </c>
      <c r="F3" t="s">
        <v>608</v>
      </c>
      <c r="G3" t="s">
        <v>609</v>
      </c>
      <c r="H3" t="s">
        <v>610</v>
      </c>
      <c r="I3" t="s">
        <v>611</v>
      </c>
      <c r="J3" t="s">
        <v>612</v>
      </c>
      <c r="K3" t="s">
        <v>613</v>
      </c>
      <c r="L3" t="s">
        <v>614</v>
      </c>
      <c r="M3" t="s">
        <v>615</v>
      </c>
      <c r="N3" t="s">
        <v>616</v>
      </c>
      <c r="O3" t="s">
        <v>617</v>
      </c>
      <c r="P3" t="s">
        <v>618</v>
      </c>
      <c r="Q3" t="s">
        <v>619</v>
      </c>
    </row>
    <row r="4" spans="1:17" x14ac:dyDescent="0.25">
      <c r="A4" t="s">
        <v>119</v>
      </c>
      <c r="B4" s="48">
        <v>45707</v>
      </c>
      <c r="C4" t="s">
        <v>97</v>
      </c>
      <c r="D4" t="s">
        <v>98</v>
      </c>
      <c r="E4" t="s">
        <v>88</v>
      </c>
      <c r="F4" t="s">
        <v>89</v>
      </c>
      <c r="G4" t="s">
        <v>113</v>
      </c>
      <c r="H4" t="s">
        <v>69</v>
      </c>
      <c r="I4">
        <v>899.99</v>
      </c>
      <c r="J4">
        <v>5</v>
      </c>
      <c r="K4">
        <v>0.15</v>
      </c>
      <c r="L4">
        <v>4499.95</v>
      </c>
      <c r="M4">
        <v>674.99249999999995</v>
      </c>
      <c r="N4">
        <v>3824.9575</v>
      </c>
      <c r="O4" t="s">
        <v>70</v>
      </c>
      <c r="P4" t="s">
        <v>79</v>
      </c>
      <c r="Q4" t="s">
        <v>72</v>
      </c>
    </row>
    <row r="5" spans="1:17" x14ac:dyDescent="0.25">
      <c r="A5" t="s">
        <v>106</v>
      </c>
      <c r="B5" s="48">
        <v>45703</v>
      </c>
      <c r="C5" t="s">
        <v>107</v>
      </c>
      <c r="D5" t="s">
        <v>108</v>
      </c>
      <c r="E5" t="s">
        <v>76</v>
      </c>
      <c r="F5" t="s">
        <v>77</v>
      </c>
      <c r="G5" t="s">
        <v>109</v>
      </c>
      <c r="H5" t="s">
        <v>110</v>
      </c>
      <c r="I5">
        <v>499.99</v>
      </c>
      <c r="J5">
        <v>5</v>
      </c>
      <c r="K5">
        <v>0</v>
      </c>
      <c r="L5">
        <v>2499.9499999999998</v>
      </c>
      <c r="M5">
        <v>0</v>
      </c>
      <c r="N5">
        <v>2499.9499999999998</v>
      </c>
      <c r="O5" t="s">
        <v>111</v>
      </c>
      <c r="P5" t="s">
        <v>79</v>
      </c>
      <c r="Q5" t="s">
        <v>62</v>
      </c>
    </row>
    <row r="6" spans="1:17" x14ac:dyDescent="0.25">
      <c r="A6" t="s">
        <v>173</v>
      </c>
      <c r="B6" s="48">
        <v>45854</v>
      </c>
      <c r="C6" t="s">
        <v>100</v>
      </c>
      <c r="D6" t="s">
        <v>101</v>
      </c>
      <c r="E6" t="s">
        <v>66</v>
      </c>
      <c r="F6" t="s">
        <v>67</v>
      </c>
      <c r="G6" t="s">
        <v>113</v>
      </c>
      <c r="H6" t="s">
        <v>69</v>
      </c>
      <c r="I6">
        <v>899.99</v>
      </c>
      <c r="J6">
        <v>3</v>
      </c>
      <c r="K6">
        <v>0.2</v>
      </c>
      <c r="L6">
        <v>2699.9700000000003</v>
      </c>
      <c r="M6">
        <v>539.99400000000003</v>
      </c>
      <c r="N6">
        <v>2159.9760000000001</v>
      </c>
      <c r="O6" t="s">
        <v>70</v>
      </c>
      <c r="P6" t="s">
        <v>79</v>
      </c>
      <c r="Q6" t="s">
        <v>62</v>
      </c>
    </row>
    <row r="7" spans="1:17" x14ac:dyDescent="0.25">
      <c r="A7" t="s">
        <v>177</v>
      </c>
      <c r="B7" s="48">
        <v>45870</v>
      </c>
      <c r="C7" t="s">
        <v>100</v>
      </c>
      <c r="D7" t="s">
        <v>101</v>
      </c>
      <c r="E7" t="s">
        <v>66</v>
      </c>
      <c r="F7" t="s">
        <v>67</v>
      </c>
      <c r="G7" t="s">
        <v>109</v>
      </c>
      <c r="H7" t="s">
        <v>110</v>
      </c>
      <c r="I7">
        <v>499.99</v>
      </c>
      <c r="J7">
        <v>4</v>
      </c>
      <c r="K7">
        <v>0.15</v>
      </c>
      <c r="L7">
        <v>1999.96</v>
      </c>
      <c r="M7">
        <v>299.99399999999997</v>
      </c>
      <c r="N7">
        <v>1699.9660000000001</v>
      </c>
      <c r="O7" t="s">
        <v>70</v>
      </c>
      <c r="P7" t="s">
        <v>79</v>
      </c>
      <c r="Q7" t="s">
        <v>72</v>
      </c>
    </row>
    <row r="8" spans="1:17" x14ac:dyDescent="0.25">
      <c r="A8" t="s">
        <v>154</v>
      </c>
      <c r="B8" s="48">
        <v>45782</v>
      </c>
      <c r="C8" t="s">
        <v>86</v>
      </c>
      <c r="D8" t="s">
        <v>87</v>
      </c>
      <c r="E8" t="s">
        <v>88</v>
      </c>
      <c r="F8" t="s">
        <v>89</v>
      </c>
      <c r="G8" t="s">
        <v>78</v>
      </c>
      <c r="H8" t="s">
        <v>69</v>
      </c>
      <c r="I8">
        <v>349.99</v>
      </c>
      <c r="J8">
        <v>5</v>
      </c>
      <c r="K8">
        <v>0.1</v>
      </c>
      <c r="L8">
        <v>1749.95</v>
      </c>
      <c r="M8">
        <v>174.995</v>
      </c>
      <c r="N8">
        <v>1574.9549999999999</v>
      </c>
      <c r="O8" t="s">
        <v>70</v>
      </c>
      <c r="P8" t="s">
        <v>79</v>
      </c>
      <c r="Q8" t="s">
        <v>62</v>
      </c>
    </row>
    <row r="9" spans="1:17" x14ac:dyDescent="0.25">
      <c r="A9" t="s">
        <v>189</v>
      </c>
      <c r="B9" s="48">
        <v>45917</v>
      </c>
      <c r="C9" t="s">
        <v>81</v>
      </c>
      <c r="D9" t="s">
        <v>82</v>
      </c>
      <c r="E9" t="s">
        <v>76</v>
      </c>
      <c r="F9" t="s">
        <v>77</v>
      </c>
      <c r="G9" t="s">
        <v>142</v>
      </c>
      <c r="H9" t="s">
        <v>110</v>
      </c>
      <c r="I9">
        <v>299.99</v>
      </c>
      <c r="J9">
        <v>5</v>
      </c>
      <c r="K9">
        <v>0</v>
      </c>
      <c r="L9">
        <v>1499.95</v>
      </c>
      <c r="M9">
        <v>0</v>
      </c>
      <c r="N9">
        <v>1499.95</v>
      </c>
      <c r="O9" t="s">
        <v>70</v>
      </c>
      <c r="P9" t="s">
        <v>79</v>
      </c>
      <c r="Q9" t="s">
        <v>84</v>
      </c>
    </row>
    <row r="10" spans="1:17" x14ac:dyDescent="0.25">
      <c r="A10" t="s">
        <v>145</v>
      </c>
      <c r="B10" s="48">
        <v>45762</v>
      </c>
      <c r="C10" t="s">
        <v>100</v>
      </c>
      <c r="D10" t="s">
        <v>101</v>
      </c>
      <c r="E10" t="s">
        <v>66</v>
      </c>
      <c r="F10" t="s">
        <v>67</v>
      </c>
      <c r="G10" t="s">
        <v>142</v>
      </c>
      <c r="H10" t="s">
        <v>110</v>
      </c>
      <c r="I10">
        <v>299.99</v>
      </c>
      <c r="J10">
        <v>4</v>
      </c>
      <c r="K10">
        <v>0</v>
      </c>
      <c r="L10">
        <v>1199.96</v>
      </c>
      <c r="M10">
        <v>0</v>
      </c>
      <c r="N10">
        <v>1199.96</v>
      </c>
      <c r="O10" t="s">
        <v>83</v>
      </c>
      <c r="P10" t="s">
        <v>79</v>
      </c>
      <c r="Q10" t="s">
        <v>84</v>
      </c>
    </row>
    <row r="11" spans="1:17" x14ac:dyDescent="0.25">
      <c r="A11" t="s">
        <v>198</v>
      </c>
      <c r="B11" s="48">
        <v>45953</v>
      </c>
      <c r="C11" t="s">
        <v>148</v>
      </c>
      <c r="D11" t="s">
        <v>149</v>
      </c>
      <c r="E11" t="s">
        <v>117</v>
      </c>
      <c r="F11" t="s">
        <v>118</v>
      </c>
      <c r="G11" t="s">
        <v>142</v>
      </c>
      <c r="H11" t="s">
        <v>110</v>
      </c>
      <c r="I11">
        <v>299.99</v>
      </c>
      <c r="J11">
        <v>4</v>
      </c>
      <c r="K11">
        <v>0.05</v>
      </c>
      <c r="L11">
        <v>1199.96</v>
      </c>
      <c r="M11">
        <v>59.998000000000005</v>
      </c>
      <c r="N11">
        <v>1139.962</v>
      </c>
      <c r="O11" t="s">
        <v>111</v>
      </c>
      <c r="P11" t="s">
        <v>79</v>
      </c>
      <c r="Q11" t="s">
        <v>72</v>
      </c>
    </row>
    <row r="12" spans="1:17" x14ac:dyDescent="0.25">
      <c r="A12" t="s">
        <v>176</v>
      </c>
      <c r="B12" s="48">
        <v>45862</v>
      </c>
      <c r="C12" t="s">
        <v>74</v>
      </c>
      <c r="D12" t="s">
        <v>75</v>
      </c>
      <c r="E12" t="s">
        <v>76</v>
      </c>
      <c r="F12" t="s">
        <v>77</v>
      </c>
      <c r="G12" t="s">
        <v>142</v>
      </c>
      <c r="H12" t="s">
        <v>110</v>
      </c>
      <c r="I12">
        <v>299.99</v>
      </c>
      <c r="J12">
        <v>2</v>
      </c>
      <c r="K12">
        <v>0</v>
      </c>
      <c r="L12">
        <v>599.98</v>
      </c>
      <c r="M12">
        <v>0</v>
      </c>
      <c r="N12">
        <v>599.98</v>
      </c>
      <c r="O12" t="s">
        <v>70</v>
      </c>
      <c r="P12" t="s">
        <v>79</v>
      </c>
      <c r="Q12" t="s">
        <v>72</v>
      </c>
    </row>
    <row r="13" spans="1:17" x14ac:dyDescent="0.25">
      <c r="A13" t="s">
        <v>73</v>
      </c>
      <c r="B13" s="48">
        <v>45674</v>
      </c>
      <c r="C13" t="s">
        <v>74</v>
      </c>
      <c r="D13" t="s">
        <v>75</v>
      </c>
      <c r="E13" t="s">
        <v>76</v>
      </c>
      <c r="F13" t="s">
        <v>77</v>
      </c>
      <c r="G13" t="s">
        <v>78</v>
      </c>
      <c r="H13" t="s">
        <v>69</v>
      </c>
      <c r="I13">
        <v>349.99</v>
      </c>
      <c r="J13">
        <v>2</v>
      </c>
      <c r="K13">
        <v>0.15</v>
      </c>
      <c r="L13">
        <v>699.98</v>
      </c>
      <c r="M13">
        <v>104.997</v>
      </c>
      <c r="N13">
        <v>594.98300000000006</v>
      </c>
      <c r="O13" t="s">
        <v>70</v>
      </c>
      <c r="P13" t="s">
        <v>79</v>
      </c>
      <c r="Q13" t="s">
        <v>62</v>
      </c>
    </row>
    <row r="14" spans="1:17" x14ac:dyDescent="0.25">
      <c r="A14" t="s">
        <v>159</v>
      </c>
      <c r="B14" s="48">
        <v>45811</v>
      </c>
      <c r="C14" t="s">
        <v>148</v>
      </c>
      <c r="D14" t="s">
        <v>149</v>
      </c>
      <c r="E14" t="s">
        <v>117</v>
      </c>
      <c r="F14" t="s">
        <v>118</v>
      </c>
      <c r="G14" t="s">
        <v>90</v>
      </c>
      <c r="H14" t="s">
        <v>69</v>
      </c>
      <c r="I14">
        <v>129.99</v>
      </c>
      <c r="J14">
        <v>3</v>
      </c>
      <c r="K14">
        <v>0</v>
      </c>
      <c r="L14">
        <v>389.97</v>
      </c>
      <c r="M14">
        <v>0</v>
      </c>
      <c r="N14">
        <v>389.97</v>
      </c>
      <c r="O14" t="s">
        <v>70</v>
      </c>
      <c r="P14" t="s">
        <v>79</v>
      </c>
      <c r="Q14" t="s">
        <v>62</v>
      </c>
    </row>
    <row r="15" spans="1:17" x14ac:dyDescent="0.25">
      <c r="A15" t="s">
        <v>170</v>
      </c>
      <c r="B15" s="48">
        <v>45847</v>
      </c>
      <c r="C15" t="s">
        <v>54</v>
      </c>
      <c r="D15" t="s">
        <v>55</v>
      </c>
      <c r="E15" t="s">
        <v>56</v>
      </c>
      <c r="F15" t="s">
        <v>57</v>
      </c>
      <c r="G15" t="s">
        <v>90</v>
      </c>
      <c r="H15" t="s">
        <v>69</v>
      </c>
      <c r="I15">
        <v>129.99</v>
      </c>
      <c r="J15">
        <v>3</v>
      </c>
      <c r="K15">
        <v>0.05</v>
      </c>
      <c r="L15">
        <v>389.97</v>
      </c>
      <c r="M15">
        <v>19.498500000000003</v>
      </c>
      <c r="N15">
        <v>370.47150000000005</v>
      </c>
      <c r="O15" t="s">
        <v>111</v>
      </c>
      <c r="P15" t="s">
        <v>79</v>
      </c>
      <c r="Q15" t="s">
        <v>72</v>
      </c>
    </row>
    <row r="16" spans="1:17" x14ac:dyDescent="0.25">
      <c r="A16" t="s">
        <v>153</v>
      </c>
      <c r="B16" s="48">
        <v>45774</v>
      </c>
      <c r="C16" t="s">
        <v>74</v>
      </c>
      <c r="D16" t="s">
        <v>75</v>
      </c>
      <c r="E16" t="s">
        <v>76</v>
      </c>
      <c r="F16" t="s">
        <v>77</v>
      </c>
      <c r="G16" t="s">
        <v>90</v>
      </c>
      <c r="H16" t="s">
        <v>69</v>
      </c>
      <c r="I16">
        <v>129.99</v>
      </c>
      <c r="J16">
        <v>3</v>
      </c>
      <c r="K16">
        <v>0.05</v>
      </c>
      <c r="L16">
        <v>389.97</v>
      </c>
      <c r="M16">
        <v>19.498500000000003</v>
      </c>
      <c r="N16">
        <v>370.47150000000005</v>
      </c>
      <c r="O16" t="s">
        <v>70</v>
      </c>
      <c r="P16" t="s">
        <v>79</v>
      </c>
      <c r="Q16" t="s">
        <v>62</v>
      </c>
    </row>
    <row r="17" spans="1:17" x14ac:dyDescent="0.25">
      <c r="A17" t="s">
        <v>151</v>
      </c>
      <c r="B17" s="48">
        <v>45773</v>
      </c>
      <c r="C17" t="s">
        <v>132</v>
      </c>
      <c r="D17" t="s">
        <v>133</v>
      </c>
      <c r="E17" t="s">
        <v>56</v>
      </c>
      <c r="F17" t="s">
        <v>57</v>
      </c>
      <c r="G17" t="s">
        <v>78</v>
      </c>
      <c r="H17" t="s">
        <v>69</v>
      </c>
      <c r="I17">
        <v>349.99</v>
      </c>
      <c r="J17">
        <v>1</v>
      </c>
      <c r="K17">
        <v>0</v>
      </c>
      <c r="L17">
        <v>349.99</v>
      </c>
      <c r="M17">
        <v>0</v>
      </c>
      <c r="N17">
        <v>349.99</v>
      </c>
      <c r="O17" t="s">
        <v>70</v>
      </c>
      <c r="P17" t="s">
        <v>79</v>
      </c>
      <c r="Q17" t="s">
        <v>62</v>
      </c>
    </row>
    <row r="18" spans="1:17" x14ac:dyDescent="0.25">
      <c r="A18" t="s">
        <v>137</v>
      </c>
      <c r="B18" s="48">
        <v>45737</v>
      </c>
      <c r="C18" t="s">
        <v>107</v>
      </c>
      <c r="D18" t="s">
        <v>108</v>
      </c>
      <c r="E18" t="s">
        <v>76</v>
      </c>
      <c r="F18" t="s">
        <v>77</v>
      </c>
      <c r="G18" t="s">
        <v>129</v>
      </c>
      <c r="H18" t="s">
        <v>69</v>
      </c>
      <c r="I18">
        <v>49.99</v>
      </c>
      <c r="J18">
        <v>4</v>
      </c>
      <c r="K18">
        <v>0.1</v>
      </c>
      <c r="L18">
        <v>199.96</v>
      </c>
      <c r="M18">
        <v>19.996000000000002</v>
      </c>
      <c r="N18">
        <v>179.964</v>
      </c>
      <c r="O18" t="s">
        <v>70</v>
      </c>
      <c r="P18" t="s">
        <v>79</v>
      </c>
      <c r="Q18" t="s">
        <v>62</v>
      </c>
    </row>
    <row r="19" spans="1:17" x14ac:dyDescent="0.25">
      <c r="A19" t="s">
        <v>172</v>
      </c>
      <c r="B19" s="48">
        <v>45854</v>
      </c>
      <c r="C19" t="s">
        <v>148</v>
      </c>
      <c r="D19" t="s">
        <v>149</v>
      </c>
      <c r="E19" t="s">
        <v>117</v>
      </c>
      <c r="F19" t="s">
        <v>118</v>
      </c>
      <c r="G19" t="s">
        <v>139</v>
      </c>
      <c r="H19" t="s">
        <v>110</v>
      </c>
      <c r="I19">
        <v>39.99</v>
      </c>
      <c r="J19">
        <v>4</v>
      </c>
      <c r="K19">
        <v>0</v>
      </c>
      <c r="L19">
        <v>159.96</v>
      </c>
      <c r="M19">
        <v>0</v>
      </c>
      <c r="N19">
        <v>159.96</v>
      </c>
      <c r="O19" t="s">
        <v>70</v>
      </c>
      <c r="P19" t="s">
        <v>79</v>
      </c>
      <c r="Q19" t="s">
        <v>62</v>
      </c>
    </row>
    <row r="20" spans="1:17" x14ac:dyDescent="0.25">
      <c r="A20" t="s">
        <v>167</v>
      </c>
      <c r="B20" s="48">
        <v>45844</v>
      </c>
      <c r="C20" t="s">
        <v>54</v>
      </c>
      <c r="D20" t="s">
        <v>55</v>
      </c>
      <c r="E20" t="s">
        <v>56</v>
      </c>
      <c r="F20" t="s">
        <v>57</v>
      </c>
      <c r="G20" t="s">
        <v>104</v>
      </c>
      <c r="H20" t="s">
        <v>69</v>
      </c>
      <c r="I20">
        <v>79.989999999999995</v>
      </c>
      <c r="J20">
        <v>2</v>
      </c>
      <c r="K20">
        <v>0.2</v>
      </c>
      <c r="L20">
        <v>159.97999999999999</v>
      </c>
      <c r="M20">
        <v>31.995999999999999</v>
      </c>
      <c r="N20">
        <v>127.98399999999999</v>
      </c>
      <c r="O20" t="s">
        <v>70</v>
      </c>
      <c r="P20" t="s">
        <v>79</v>
      </c>
      <c r="Q20" t="s">
        <v>62</v>
      </c>
    </row>
    <row r="21" spans="1:17" x14ac:dyDescent="0.25">
      <c r="A21" t="s">
        <v>203</v>
      </c>
      <c r="B21" s="48">
        <v>45975</v>
      </c>
      <c r="C21" t="s">
        <v>54</v>
      </c>
      <c r="D21" t="s">
        <v>55</v>
      </c>
      <c r="E21" t="s">
        <v>56</v>
      </c>
      <c r="F21" t="s">
        <v>57</v>
      </c>
      <c r="G21" t="s">
        <v>129</v>
      </c>
      <c r="H21" t="s">
        <v>69</v>
      </c>
      <c r="I21">
        <v>49.99</v>
      </c>
      <c r="J21">
        <v>2</v>
      </c>
      <c r="K21">
        <v>0</v>
      </c>
      <c r="L21">
        <v>99.98</v>
      </c>
      <c r="M21">
        <v>0</v>
      </c>
      <c r="N21">
        <v>99.98</v>
      </c>
      <c r="O21" t="s">
        <v>70</v>
      </c>
      <c r="P21" t="s">
        <v>79</v>
      </c>
      <c r="Q21" t="s">
        <v>84</v>
      </c>
    </row>
    <row r="22" spans="1:17" x14ac:dyDescent="0.25">
      <c r="A22" t="s">
        <v>128</v>
      </c>
      <c r="B22" s="48">
        <v>45724</v>
      </c>
      <c r="C22" t="s">
        <v>54</v>
      </c>
      <c r="D22" t="s">
        <v>55</v>
      </c>
      <c r="E22" t="s">
        <v>56</v>
      </c>
      <c r="F22" t="s">
        <v>57</v>
      </c>
      <c r="G22" t="s">
        <v>129</v>
      </c>
      <c r="H22" t="s">
        <v>69</v>
      </c>
      <c r="I22">
        <v>49.99</v>
      </c>
      <c r="J22">
        <v>1</v>
      </c>
      <c r="K22">
        <v>0.1</v>
      </c>
      <c r="L22">
        <v>49.99</v>
      </c>
      <c r="M22">
        <v>4.9990000000000006</v>
      </c>
      <c r="N22">
        <v>44.991</v>
      </c>
      <c r="O22" t="s">
        <v>70</v>
      </c>
      <c r="P22" t="s">
        <v>79</v>
      </c>
      <c r="Q22" t="s">
        <v>84</v>
      </c>
    </row>
    <row r="23" spans="1:17" x14ac:dyDescent="0.25">
      <c r="A23" t="s">
        <v>199</v>
      </c>
      <c r="B23" s="48">
        <v>45957</v>
      </c>
      <c r="C23" t="s">
        <v>92</v>
      </c>
      <c r="D23" t="s">
        <v>93</v>
      </c>
      <c r="E23" t="s">
        <v>66</v>
      </c>
      <c r="F23" t="s">
        <v>67</v>
      </c>
      <c r="G23" t="s">
        <v>121</v>
      </c>
      <c r="H23" t="s">
        <v>59</v>
      </c>
      <c r="I23">
        <v>8.99</v>
      </c>
      <c r="J23">
        <v>4</v>
      </c>
      <c r="K23">
        <v>0.2</v>
      </c>
      <c r="L23">
        <v>35.96</v>
      </c>
      <c r="M23">
        <v>7.1920000000000002</v>
      </c>
      <c r="N23">
        <v>28.768000000000001</v>
      </c>
      <c r="O23" t="s">
        <v>60</v>
      </c>
      <c r="P23" t="s">
        <v>79</v>
      </c>
      <c r="Q23" t="s">
        <v>72</v>
      </c>
    </row>
    <row r="24" spans="1:17" x14ac:dyDescent="0.25">
      <c r="A24" t="s">
        <v>140</v>
      </c>
      <c r="B24" s="48">
        <v>45742</v>
      </c>
      <c r="C24" t="s">
        <v>74</v>
      </c>
      <c r="D24" t="s">
        <v>75</v>
      </c>
      <c r="E24" t="s">
        <v>76</v>
      </c>
      <c r="F24" t="s">
        <v>77</v>
      </c>
      <c r="G24" t="s">
        <v>121</v>
      </c>
      <c r="H24" t="s">
        <v>59</v>
      </c>
      <c r="I24">
        <v>8.99</v>
      </c>
      <c r="J24">
        <v>4</v>
      </c>
      <c r="K24">
        <v>0.2</v>
      </c>
      <c r="L24">
        <v>35.96</v>
      </c>
      <c r="M24">
        <v>7.1920000000000002</v>
      </c>
      <c r="N24">
        <v>28.768000000000001</v>
      </c>
      <c r="O24" t="s">
        <v>70</v>
      </c>
      <c r="P24" t="s">
        <v>79</v>
      </c>
      <c r="Q24" t="s">
        <v>72</v>
      </c>
    </row>
    <row r="25" spans="1:17" x14ac:dyDescent="0.25">
      <c r="A25" t="s">
        <v>134</v>
      </c>
      <c r="B25" s="48">
        <v>45734</v>
      </c>
      <c r="C25" t="s">
        <v>92</v>
      </c>
      <c r="D25" t="s">
        <v>93</v>
      </c>
      <c r="E25" t="s">
        <v>66</v>
      </c>
      <c r="F25" t="s">
        <v>67</v>
      </c>
      <c r="G25" t="s">
        <v>135</v>
      </c>
      <c r="H25" t="s">
        <v>59</v>
      </c>
      <c r="I25">
        <v>24.99</v>
      </c>
      <c r="J25">
        <v>1</v>
      </c>
      <c r="K25">
        <v>0.1</v>
      </c>
      <c r="L25">
        <v>24.99</v>
      </c>
      <c r="M25">
        <v>2.4990000000000001</v>
      </c>
      <c r="N25">
        <v>22.491</v>
      </c>
      <c r="O25" t="s">
        <v>70</v>
      </c>
      <c r="P25" t="s">
        <v>79</v>
      </c>
      <c r="Q25" t="s">
        <v>62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BC0F-85CF-4ACD-BF5E-BC19580206B6}">
  <dimension ref="A1:S32"/>
  <sheetViews>
    <sheetView workbookViewId="0"/>
  </sheetViews>
  <sheetFormatPr defaultRowHeight="15" x14ac:dyDescent="0.25"/>
  <cols>
    <col min="1" max="1" width="18.140625" bestFit="1" customWidth="1"/>
    <col min="2" max="2" width="20.5703125" bestFit="1" customWidth="1"/>
    <col min="3" max="3" width="25.28515625" bestFit="1" customWidth="1"/>
    <col min="4" max="4" width="18.7109375" bestFit="1" customWidth="1"/>
    <col min="5" max="5" width="14" bestFit="1" customWidth="1"/>
    <col min="6" max="6" width="15.140625" bestFit="1" customWidth="1"/>
    <col min="7" max="7" width="17.5703125" bestFit="1" customWidth="1"/>
    <col min="8" max="8" width="18.5703125" bestFit="1" customWidth="1"/>
    <col min="9" max="9" width="22.42578125" bestFit="1" customWidth="1"/>
    <col min="10" max="10" width="18.42578125" bestFit="1" customWidth="1"/>
    <col min="11" max="11" width="20.5703125" bestFit="1" customWidth="1"/>
    <col min="12" max="12" width="33.140625" bestFit="1" customWidth="1"/>
    <col min="13" max="13" width="29.28515625" bestFit="1" customWidth="1"/>
    <col min="14" max="14" width="25.7109375" bestFit="1" customWidth="1"/>
    <col min="15" max="15" width="16.140625" bestFit="1" customWidth="1"/>
    <col min="16" max="16" width="19.140625" bestFit="1" customWidth="1"/>
    <col min="17" max="17" width="26.42578125" bestFit="1" customWidth="1"/>
    <col min="18" max="18" width="28.7109375" bestFit="1" customWidth="1"/>
    <col min="19" max="19" width="34.28515625" bestFit="1" customWidth="1"/>
  </cols>
  <sheetData>
    <row r="1" spans="1:19" x14ac:dyDescent="0.25">
      <c r="A1" s="67" t="s">
        <v>633</v>
      </c>
    </row>
    <row r="3" spans="1:19" x14ac:dyDescent="0.25">
      <c r="A3" t="s">
        <v>603</v>
      </c>
      <c r="B3" t="s">
        <v>604</v>
      </c>
      <c r="C3" t="s">
        <v>605</v>
      </c>
      <c r="D3" t="s">
        <v>606</v>
      </c>
      <c r="E3" t="s">
        <v>607</v>
      </c>
      <c r="F3" t="s">
        <v>608</v>
      </c>
      <c r="G3" t="s">
        <v>609</v>
      </c>
      <c r="H3" t="s">
        <v>610</v>
      </c>
      <c r="I3" t="s">
        <v>611</v>
      </c>
      <c r="J3" t="s">
        <v>612</v>
      </c>
      <c r="K3" t="s">
        <v>613</v>
      </c>
      <c r="L3" t="s">
        <v>614</v>
      </c>
      <c r="M3" t="s">
        <v>615</v>
      </c>
      <c r="N3" t="s">
        <v>616</v>
      </c>
      <c r="O3" t="s">
        <v>617</v>
      </c>
      <c r="P3" t="s">
        <v>618</v>
      </c>
      <c r="Q3" t="s">
        <v>619</v>
      </c>
      <c r="R3" t="s">
        <v>631</v>
      </c>
      <c r="S3" t="s">
        <v>632</v>
      </c>
    </row>
    <row r="4" spans="1:19" x14ac:dyDescent="0.25">
      <c r="A4" t="s">
        <v>112</v>
      </c>
      <c r="B4" s="48">
        <v>45704</v>
      </c>
      <c r="C4" t="s">
        <v>86</v>
      </c>
      <c r="D4" t="s">
        <v>87</v>
      </c>
      <c r="E4" t="s">
        <v>88</v>
      </c>
      <c r="F4" t="s">
        <v>89</v>
      </c>
      <c r="G4" t="s">
        <v>113</v>
      </c>
      <c r="H4" t="s">
        <v>69</v>
      </c>
      <c r="I4">
        <v>899.99</v>
      </c>
      <c r="J4">
        <v>5</v>
      </c>
      <c r="K4">
        <v>0</v>
      </c>
      <c r="L4">
        <v>4499.95</v>
      </c>
      <c r="M4">
        <v>0</v>
      </c>
      <c r="N4">
        <v>4499.95</v>
      </c>
      <c r="O4" t="s">
        <v>70</v>
      </c>
      <c r="P4" t="s">
        <v>61</v>
      </c>
      <c r="Q4" t="s">
        <v>62</v>
      </c>
      <c r="R4" t="s">
        <v>622</v>
      </c>
      <c r="S4">
        <v>2</v>
      </c>
    </row>
    <row r="5" spans="1:19" x14ac:dyDescent="0.25">
      <c r="A5" t="s">
        <v>212</v>
      </c>
      <c r="B5" s="48">
        <v>46005</v>
      </c>
      <c r="C5" t="s">
        <v>92</v>
      </c>
      <c r="D5" t="s">
        <v>93</v>
      </c>
      <c r="E5" t="s">
        <v>66</v>
      </c>
      <c r="F5" t="s">
        <v>67</v>
      </c>
      <c r="G5" t="s">
        <v>113</v>
      </c>
      <c r="H5" t="s">
        <v>69</v>
      </c>
      <c r="I5">
        <v>899.99</v>
      </c>
      <c r="J5">
        <v>5</v>
      </c>
      <c r="K5">
        <v>0.15</v>
      </c>
      <c r="L5">
        <v>4499.95</v>
      </c>
      <c r="M5">
        <v>674.99249999999995</v>
      </c>
      <c r="N5">
        <v>3824.9575</v>
      </c>
      <c r="O5" t="s">
        <v>111</v>
      </c>
      <c r="P5" t="s">
        <v>61</v>
      </c>
      <c r="Q5" t="s">
        <v>84</v>
      </c>
      <c r="R5" t="s">
        <v>630</v>
      </c>
      <c r="S5">
        <v>12</v>
      </c>
    </row>
    <row r="6" spans="1:19" x14ac:dyDescent="0.25">
      <c r="A6" t="s">
        <v>201</v>
      </c>
      <c r="B6" s="48">
        <v>45965</v>
      </c>
      <c r="C6" t="s">
        <v>86</v>
      </c>
      <c r="D6" t="s">
        <v>87</v>
      </c>
      <c r="E6" t="s">
        <v>88</v>
      </c>
      <c r="F6" t="s">
        <v>89</v>
      </c>
      <c r="G6" t="s">
        <v>113</v>
      </c>
      <c r="H6" t="s">
        <v>69</v>
      </c>
      <c r="I6">
        <v>899.99</v>
      </c>
      <c r="J6">
        <v>3</v>
      </c>
      <c r="K6">
        <v>0</v>
      </c>
      <c r="L6">
        <v>2699.9700000000003</v>
      </c>
      <c r="M6">
        <v>0</v>
      </c>
      <c r="N6">
        <v>2699.9700000000003</v>
      </c>
      <c r="O6" t="s">
        <v>70</v>
      </c>
      <c r="P6" t="s">
        <v>61</v>
      </c>
      <c r="Q6" t="s">
        <v>62</v>
      </c>
      <c r="R6" t="s">
        <v>629</v>
      </c>
      <c r="S6">
        <v>11</v>
      </c>
    </row>
    <row r="7" spans="1:19" x14ac:dyDescent="0.25">
      <c r="A7" t="s">
        <v>131</v>
      </c>
      <c r="B7" s="48">
        <v>45730</v>
      </c>
      <c r="C7" t="s">
        <v>132</v>
      </c>
      <c r="D7" t="s">
        <v>133</v>
      </c>
      <c r="E7" t="s">
        <v>56</v>
      </c>
      <c r="F7" t="s">
        <v>57</v>
      </c>
      <c r="G7" t="s">
        <v>113</v>
      </c>
      <c r="H7" t="s">
        <v>69</v>
      </c>
      <c r="I7">
        <v>899.99</v>
      </c>
      <c r="J7">
        <v>3</v>
      </c>
      <c r="K7">
        <v>0.2</v>
      </c>
      <c r="L7">
        <v>2699.9700000000003</v>
      </c>
      <c r="M7">
        <v>539.99400000000003</v>
      </c>
      <c r="N7">
        <v>2159.9760000000001</v>
      </c>
      <c r="O7" t="s">
        <v>70</v>
      </c>
      <c r="P7" t="s">
        <v>61</v>
      </c>
      <c r="Q7" t="s">
        <v>84</v>
      </c>
      <c r="R7" t="s">
        <v>623</v>
      </c>
      <c r="S7">
        <v>3</v>
      </c>
    </row>
    <row r="8" spans="1:19" x14ac:dyDescent="0.25">
      <c r="A8" t="s">
        <v>95</v>
      </c>
      <c r="B8" s="48">
        <v>45695</v>
      </c>
      <c r="C8" t="s">
        <v>92</v>
      </c>
      <c r="D8" t="s">
        <v>93</v>
      </c>
      <c r="E8" t="s">
        <v>66</v>
      </c>
      <c r="F8" t="s">
        <v>67</v>
      </c>
      <c r="G8" t="s">
        <v>78</v>
      </c>
      <c r="H8" t="s">
        <v>69</v>
      </c>
      <c r="I8">
        <v>349.99</v>
      </c>
      <c r="J8">
        <v>5</v>
      </c>
      <c r="K8">
        <v>0</v>
      </c>
      <c r="L8">
        <v>1749.95</v>
      </c>
      <c r="M8">
        <v>0</v>
      </c>
      <c r="N8">
        <v>1749.95</v>
      </c>
      <c r="O8" t="s">
        <v>60</v>
      </c>
      <c r="P8" t="s">
        <v>61</v>
      </c>
      <c r="Q8" t="s">
        <v>62</v>
      </c>
      <c r="R8" t="s">
        <v>622</v>
      </c>
      <c r="S8">
        <v>2</v>
      </c>
    </row>
    <row r="9" spans="1:19" x14ac:dyDescent="0.25">
      <c r="A9" t="s">
        <v>127</v>
      </c>
      <c r="B9" s="48">
        <v>45723</v>
      </c>
      <c r="C9" t="s">
        <v>107</v>
      </c>
      <c r="D9" t="s">
        <v>108</v>
      </c>
      <c r="E9" t="s">
        <v>76</v>
      </c>
      <c r="F9" t="s">
        <v>77</v>
      </c>
      <c r="G9" t="s">
        <v>109</v>
      </c>
      <c r="H9" t="s">
        <v>110</v>
      </c>
      <c r="I9">
        <v>499.99</v>
      </c>
      <c r="J9">
        <v>4</v>
      </c>
      <c r="K9">
        <v>0.15</v>
      </c>
      <c r="L9">
        <v>1999.96</v>
      </c>
      <c r="M9">
        <v>299.99399999999997</v>
      </c>
      <c r="N9">
        <v>1699.9660000000001</v>
      </c>
      <c r="O9" t="s">
        <v>111</v>
      </c>
      <c r="P9" t="s">
        <v>61</v>
      </c>
      <c r="Q9" t="s">
        <v>62</v>
      </c>
      <c r="R9" t="s">
        <v>623</v>
      </c>
      <c r="S9">
        <v>3</v>
      </c>
    </row>
    <row r="10" spans="1:19" x14ac:dyDescent="0.25">
      <c r="A10" t="s">
        <v>141</v>
      </c>
      <c r="B10" s="48">
        <v>45750</v>
      </c>
      <c r="C10" t="s">
        <v>64</v>
      </c>
      <c r="D10" t="s">
        <v>65</v>
      </c>
      <c r="E10" t="s">
        <v>66</v>
      </c>
      <c r="F10" t="s">
        <v>67</v>
      </c>
      <c r="G10" t="s">
        <v>142</v>
      </c>
      <c r="H10" t="s">
        <v>110</v>
      </c>
      <c r="I10">
        <v>299.99</v>
      </c>
      <c r="J10">
        <v>5</v>
      </c>
      <c r="K10">
        <v>0.1</v>
      </c>
      <c r="L10">
        <v>1499.95</v>
      </c>
      <c r="M10">
        <v>149.995</v>
      </c>
      <c r="N10">
        <v>1349.9549999999999</v>
      </c>
      <c r="O10" t="s">
        <v>70</v>
      </c>
      <c r="P10" t="s">
        <v>61</v>
      </c>
      <c r="Q10" t="s">
        <v>62</v>
      </c>
      <c r="R10" t="s">
        <v>624</v>
      </c>
      <c r="S10">
        <v>4</v>
      </c>
    </row>
    <row r="11" spans="1:19" x14ac:dyDescent="0.25">
      <c r="A11" t="s">
        <v>165</v>
      </c>
      <c r="B11" s="48">
        <v>45833</v>
      </c>
      <c r="C11" t="s">
        <v>81</v>
      </c>
      <c r="D11" t="s">
        <v>82</v>
      </c>
      <c r="E11" t="s">
        <v>76</v>
      </c>
      <c r="F11" t="s">
        <v>77</v>
      </c>
      <c r="G11" t="s">
        <v>163</v>
      </c>
      <c r="H11" t="s">
        <v>110</v>
      </c>
      <c r="I11">
        <v>149.99</v>
      </c>
      <c r="J11">
        <v>5</v>
      </c>
      <c r="K11">
        <v>0.15</v>
      </c>
      <c r="L11">
        <v>749.95</v>
      </c>
      <c r="M11">
        <v>112.49250000000001</v>
      </c>
      <c r="N11">
        <v>637.45749999999998</v>
      </c>
      <c r="O11" t="s">
        <v>70</v>
      </c>
      <c r="P11" t="s">
        <v>61</v>
      </c>
      <c r="Q11" t="s">
        <v>72</v>
      </c>
      <c r="R11" t="s">
        <v>626</v>
      </c>
      <c r="S11">
        <v>6</v>
      </c>
    </row>
    <row r="12" spans="1:19" x14ac:dyDescent="0.25">
      <c r="A12" t="s">
        <v>192</v>
      </c>
      <c r="B12" s="48">
        <v>45940</v>
      </c>
      <c r="C12" t="s">
        <v>92</v>
      </c>
      <c r="D12" t="s">
        <v>93</v>
      </c>
      <c r="E12" t="s">
        <v>66</v>
      </c>
      <c r="F12" t="s">
        <v>67</v>
      </c>
      <c r="G12" t="s">
        <v>109</v>
      </c>
      <c r="H12" t="s">
        <v>110</v>
      </c>
      <c r="I12">
        <v>499.99</v>
      </c>
      <c r="J12">
        <v>1</v>
      </c>
      <c r="K12">
        <v>0</v>
      </c>
      <c r="L12">
        <v>499.99</v>
      </c>
      <c r="M12">
        <v>0</v>
      </c>
      <c r="N12">
        <v>499.99</v>
      </c>
      <c r="O12" t="s">
        <v>70</v>
      </c>
      <c r="P12" t="s">
        <v>61</v>
      </c>
      <c r="Q12" t="s">
        <v>62</v>
      </c>
      <c r="R12" t="s">
        <v>628</v>
      </c>
      <c r="S12">
        <v>10</v>
      </c>
    </row>
    <row r="13" spans="1:19" x14ac:dyDescent="0.25">
      <c r="A13" t="s">
        <v>122</v>
      </c>
      <c r="B13" s="48">
        <v>45709</v>
      </c>
      <c r="C13" t="s">
        <v>97</v>
      </c>
      <c r="D13" t="s">
        <v>98</v>
      </c>
      <c r="E13" t="s">
        <v>88</v>
      </c>
      <c r="F13" t="s">
        <v>89</v>
      </c>
      <c r="G13" t="s">
        <v>109</v>
      </c>
      <c r="H13" t="s">
        <v>110</v>
      </c>
      <c r="I13">
        <v>499.99</v>
      </c>
      <c r="J13">
        <v>1</v>
      </c>
      <c r="K13">
        <v>0</v>
      </c>
      <c r="L13">
        <v>499.99</v>
      </c>
      <c r="M13">
        <v>0</v>
      </c>
      <c r="N13">
        <v>499.99</v>
      </c>
      <c r="O13" t="s">
        <v>70</v>
      </c>
      <c r="P13" t="s">
        <v>61</v>
      </c>
      <c r="Q13" t="s">
        <v>84</v>
      </c>
      <c r="R13" t="s">
        <v>622</v>
      </c>
      <c r="S13">
        <v>2</v>
      </c>
    </row>
    <row r="14" spans="1:19" x14ac:dyDescent="0.25">
      <c r="A14" t="s">
        <v>207</v>
      </c>
      <c r="B14" s="48">
        <v>45996</v>
      </c>
      <c r="C14" t="s">
        <v>64</v>
      </c>
      <c r="D14" t="s">
        <v>65</v>
      </c>
      <c r="E14" t="s">
        <v>66</v>
      </c>
      <c r="F14" t="s">
        <v>67</v>
      </c>
      <c r="G14" t="s">
        <v>163</v>
      </c>
      <c r="H14" t="s">
        <v>110</v>
      </c>
      <c r="I14">
        <v>149.99</v>
      </c>
      <c r="J14">
        <v>3</v>
      </c>
      <c r="K14">
        <v>0.1</v>
      </c>
      <c r="L14">
        <v>449.97</v>
      </c>
      <c r="M14">
        <v>44.997000000000007</v>
      </c>
      <c r="N14">
        <v>404.97300000000001</v>
      </c>
      <c r="O14" t="s">
        <v>60</v>
      </c>
      <c r="P14" t="s">
        <v>61</v>
      </c>
      <c r="Q14" t="s">
        <v>62</v>
      </c>
      <c r="R14" t="s">
        <v>630</v>
      </c>
      <c r="S14">
        <v>12</v>
      </c>
    </row>
    <row r="15" spans="1:19" x14ac:dyDescent="0.25">
      <c r="A15" t="s">
        <v>152</v>
      </c>
      <c r="B15" s="48">
        <v>45774</v>
      </c>
      <c r="C15" t="s">
        <v>54</v>
      </c>
      <c r="D15" t="s">
        <v>55</v>
      </c>
      <c r="E15" t="s">
        <v>56</v>
      </c>
      <c r="F15" t="s">
        <v>57</v>
      </c>
      <c r="G15" t="s">
        <v>90</v>
      </c>
      <c r="H15" t="s">
        <v>69</v>
      </c>
      <c r="I15">
        <v>129.99</v>
      </c>
      <c r="J15">
        <v>3</v>
      </c>
      <c r="K15">
        <v>0</v>
      </c>
      <c r="L15">
        <v>389.97</v>
      </c>
      <c r="M15">
        <v>0</v>
      </c>
      <c r="N15">
        <v>389.97</v>
      </c>
      <c r="O15" t="s">
        <v>83</v>
      </c>
      <c r="P15" t="s">
        <v>61</v>
      </c>
      <c r="Q15" t="s">
        <v>72</v>
      </c>
      <c r="R15" t="s">
        <v>624</v>
      </c>
      <c r="S15">
        <v>4</v>
      </c>
    </row>
    <row r="16" spans="1:19" x14ac:dyDescent="0.25">
      <c r="A16" t="s">
        <v>186</v>
      </c>
      <c r="B16" s="48">
        <v>45906</v>
      </c>
      <c r="C16" t="s">
        <v>92</v>
      </c>
      <c r="D16" t="s">
        <v>93</v>
      </c>
      <c r="E16" t="s">
        <v>66</v>
      </c>
      <c r="F16" t="s">
        <v>67</v>
      </c>
      <c r="G16" t="s">
        <v>104</v>
      </c>
      <c r="H16" t="s">
        <v>69</v>
      </c>
      <c r="I16">
        <v>79.989999999999995</v>
      </c>
      <c r="J16">
        <v>5</v>
      </c>
      <c r="K16">
        <v>0.05</v>
      </c>
      <c r="L16">
        <v>399.95</v>
      </c>
      <c r="M16">
        <v>19.997500000000002</v>
      </c>
      <c r="N16">
        <v>379.95249999999999</v>
      </c>
      <c r="O16" t="s">
        <v>70</v>
      </c>
      <c r="P16" t="s">
        <v>61</v>
      </c>
      <c r="Q16" t="s">
        <v>84</v>
      </c>
      <c r="R16" t="s">
        <v>627</v>
      </c>
      <c r="S16">
        <v>9</v>
      </c>
    </row>
    <row r="17" spans="1:19" x14ac:dyDescent="0.25">
      <c r="A17" t="s">
        <v>85</v>
      </c>
      <c r="B17" s="48">
        <v>45681</v>
      </c>
      <c r="C17" t="s">
        <v>86</v>
      </c>
      <c r="D17" t="s">
        <v>87</v>
      </c>
      <c r="E17" t="s">
        <v>88</v>
      </c>
      <c r="F17" t="s">
        <v>89</v>
      </c>
      <c r="G17" t="s">
        <v>90</v>
      </c>
      <c r="H17" t="s">
        <v>69</v>
      </c>
      <c r="I17">
        <v>129.99</v>
      </c>
      <c r="J17">
        <v>3</v>
      </c>
      <c r="K17">
        <v>0.1</v>
      </c>
      <c r="L17">
        <v>389.97</v>
      </c>
      <c r="M17">
        <v>38.997000000000007</v>
      </c>
      <c r="N17">
        <v>350.97300000000001</v>
      </c>
      <c r="O17" t="s">
        <v>83</v>
      </c>
      <c r="P17" t="s">
        <v>61</v>
      </c>
      <c r="Q17" t="s">
        <v>62</v>
      </c>
      <c r="R17" t="s">
        <v>621</v>
      </c>
      <c r="S17">
        <v>1</v>
      </c>
    </row>
    <row r="18" spans="1:19" x14ac:dyDescent="0.25">
      <c r="A18" t="s">
        <v>187</v>
      </c>
      <c r="B18" s="48">
        <v>45908</v>
      </c>
      <c r="C18" t="s">
        <v>107</v>
      </c>
      <c r="D18" t="s">
        <v>108</v>
      </c>
      <c r="E18" t="s">
        <v>76</v>
      </c>
      <c r="F18" t="s">
        <v>77</v>
      </c>
      <c r="G18" t="s">
        <v>104</v>
      </c>
      <c r="H18" t="s">
        <v>69</v>
      </c>
      <c r="I18">
        <v>79.989999999999995</v>
      </c>
      <c r="J18">
        <v>4</v>
      </c>
      <c r="K18">
        <v>0</v>
      </c>
      <c r="L18">
        <v>319.95999999999998</v>
      </c>
      <c r="M18">
        <v>0</v>
      </c>
      <c r="N18">
        <v>319.95999999999998</v>
      </c>
      <c r="O18" t="s">
        <v>60</v>
      </c>
      <c r="P18" t="s">
        <v>61</v>
      </c>
      <c r="Q18" t="s">
        <v>62</v>
      </c>
      <c r="R18" t="s">
        <v>627</v>
      </c>
      <c r="S18">
        <v>9</v>
      </c>
    </row>
    <row r="19" spans="1:19" x14ac:dyDescent="0.25">
      <c r="A19" t="s">
        <v>156</v>
      </c>
      <c r="B19" s="48">
        <v>45788</v>
      </c>
      <c r="C19" t="s">
        <v>92</v>
      </c>
      <c r="D19" t="s">
        <v>93</v>
      </c>
      <c r="E19" t="s">
        <v>66</v>
      </c>
      <c r="F19" t="s">
        <v>67</v>
      </c>
      <c r="G19" t="s">
        <v>142</v>
      </c>
      <c r="H19" t="s">
        <v>110</v>
      </c>
      <c r="I19">
        <v>299.99</v>
      </c>
      <c r="J19">
        <v>1</v>
      </c>
      <c r="K19">
        <v>0</v>
      </c>
      <c r="L19">
        <v>299.99</v>
      </c>
      <c r="M19">
        <v>0</v>
      </c>
      <c r="N19">
        <v>299.99</v>
      </c>
      <c r="O19" t="s">
        <v>70</v>
      </c>
      <c r="P19" t="s">
        <v>61</v>
      </c>
      <c r="Q19" t="s">
        <v>62</v>
      </c>
      <c r="R19" t="s">
        <v>625</v>
      </c>
      <c r="S19">
        <v>5</v>
      </c>
    </row>
    <row r="20" spans="1:19" x14ac:dyDescent="0.25">
      <c r="A20" t="s">
        <v>213</v>
      </c>
      <c r="B20" s="48">
        <v>46007</v>
      </c>
      <c r="C20" t="s">
        <v>74</v>
      </c>
      <c r="D20" t="s">
        <v>75</v>
      </c>
      <c r="E20" t="s">
        <v>76</v>
      </c>
      <c r="F20" t="s">
        <v>77</v>
      </c>
      <c r="G20" t="s">
        <v>68</v>
      </c>
      <c r="H20" t="s">
        <v>69</v>
      </c>
      <c r="I20">
        <v>69.989999999999995</v>
      </c>
      <c r="J20">
        <v>5</v>
      </c>
      <c r="K20">
        <v>0.2</v>
      </c>
      <c r="L20">
        <v>349.95</v>
      </c>
      <c r="M20">
        <v>69.989999999999995</v>
      </c>
      <c r="N20">
        <v>279.95999999999998</v>
      </c>
      <c r="O20" t="s">
        <v>70</v>
      </c>
      <c r="P20" t="s">
        <v>61</v>
      </c>
      <c r="Q20" t="s">
        <v>62</v>
      </c>
      <c r="R20" t="s">
        <v>630</v>
      </c>
      <c r="S20">
        <v>12</v>
      </c>
    </row>
    <row r="21" spans="1:19" x14ac:dyDescent="0.25">
      <c r="A21" t="s">
        <v>53</v>
      </c>
      <c r="B21" s="48">
        <v>45659</v>
      </c>
      <c r="C21" t="s">
        <v>54</v>
      </c>
      <c r="D21" t="s">
        <v>55</v>
      </c>
      <c r="E21" t="s">
        <v>56</v>
      </c>
      <c r="F21" t="s">
        <v>57</v>
      </c>
      <c r="G21" t="s">
        <v>58</v>
      </c>
      <c r="H21" t="s">
        <v>59</v>
      </c>
      <c r="I21">
        <v>59.99</v>
      </c>
      <c r="J21">
        <v>5</v>
      </c>
      <c r="K21">
        <v>0.2</v>
      </c>
      <c r="L21">
        <v>299.95</v>
      </c>
      <c r="M21">
        <v>59.99</v>
      </c>
      <c r="N21">
        <v>239.95999999999998</v>
      </c>
      <c r="O21" t="s">
        <v>60</v>
      </c>
      <c r="P21" t="s">
        <v>61</v>
      </c>
      <c r="Q21" t="s">
        <v>62</v>
      </c>
      <c r="R21" t="s">
        <v>621</v>
      </c>
      <c r="S21">
        <v>1</v>
      </c>
    </row>
    <row r="22" spans="1:19" x14ac:dyDescent="0.25">
      <c r="A22" t="s">
        <v>209</v>
      </c>
      <c r="B22" s="48">
        <v>45999</v>
      </c>
      <c r="C22" t="s">
        <v>54</v>
      </c>
      <c r="D22" t="s">
        <v>55</v>
      </c>
      <c r="E22" t="s">
        <v>56</v>
      </c>
      <c r="F22" t="s">
        <v>57</v>
      </c>
      <c r="G22" t="s">
        <v>129</v>
      </c>
      <c r="H22" t="s">
        <v>69</v>
      </c>
      <c r="I22">
        <v>49.99</v>
      </c>
      <c r="J22">
        <v>4</v>
      </c>
      <c r="K22">
        <v>0</v>
      </c>
      <c r="L22">
        <v>199.96</v>
      </c>
      <c r="M22">
        <v>0</v>
      </c>
      <c r="N22">
        <v>199.96</v>
      </c>
      <c r="O22" t="s">
        <v>111</v>
      </c>
      <c r="P22" t="s">
        <v>61</v>
      </c>
      <c r="Q22" t="s">
        <v>84</v>
      </c>
      <c r="R22" t="s">
        <v>630</v>
      </c>
      <c r="S22">
        <v>12</v>
      </c>
    </row>
    <row r="23" spans="1:19" x14ac:dyDescent="0.25">
      <c r="A23" t="s">
        <v>143</v>
      </c>
      <c r="B23" s="48">
        <v>45753</v>
      </c>
      <c r="C23" t="s">
        <v>86</v>
      </c>
      <c r="D23" t="s">
        <v>87</v>
      </c>
      <c r="E23" t="s">
        <v>88</v>
      </c>
      <c r="F23" t="s">
        <v>89</v>
      </c>
      <c r="G23" t="s">
        <v>135</v>
      </c>
      <c r="H23" t="s">
        <v>59</v>
      </c>
      <c r="I23">
        <v>24.99</v>
      </c>
      <c r="J23">
        <v>5</v>
      </c>
      <c r="K23">
        <v>0.05</v>
      </c>
      <c r="L23">
        <v>124.94999999999999</v>
      </c>
      <c r="M23">
        <v>6.2474999999999996</v>
      </c>
      <c r="N23">
        <v>118.70249999999999</v>
      </c>
      <c r="O23" t="s">
        <v>70</v>
      </c>
      <c r="P23" t="s">
        <v>61</v>
      </c>
      <c r="Q23" t="s">
        <v>62</v>
      </c>
      <c r="R23" t="s">
        <v>624</v>
      </c>
      <c r="S23">
        <v>4</v>
      </c>
    </row>
    <row r="24" spans="1:19" x14ac:dyDescent="0.25">
      <c r="A24" t="s">
        <v>126</v>
      </c>
      <c r="B24" s="48">
        <v>45718</v>
      </c>
      <c r="C24" t="s">
        <v>100</v>
      </c>
      <c r="D24" t="s">
        <v>101</v>
      </c>
      <c r="E24" t="s">
        <v>66</v>
      </c>
      <c r="F24" t="s">
        <v>67</v>
      </c>
      <c r="G24" t="s">
        <v>104</v>
      </c>
      <c r="H24" t="s">
        <v>69</v>
      </c>
      <c r="I24">
        <v>79.989999999999995</v>
      </c>
      <c r="J24">
        <v>1</v>
      </c>
      <c r="K24">
        <v>0</v>
      </c>
      <c r="L24">
        <v>79.989999999999995</v>
      </c>
      <c r="M24">
        <v>0</v>
      </c>
      <c r="N24">
        <v>79.989999999999995</v>
      </c>
      <c r="O24" t="s">
        <v>70</v>
      </c>
      <c r="P24" t="s">
        <v>61</v>
      </c>
      <c r="Q24" t="s">
        <v>62</v>
      </c>
      <c r="R24" t="s">
        <v>623</v>
      </c>
      <c r="S24">
        <v>3</v>
      </c>
    </row>
    <row r="25" spans="1:19" x14ac:dyDescent="0.25">
      <c r="A25" t="s">
        <v>184</v>
      </c>
      <c r="B25" s="48">
        <v>45903</v>
      </c>
      <c r="C25" t="s">
        <v>132</v>
      </c>
      <c r="D25" t="s">
        <v>133</v>
      </c>
      <c r="E25" t="s">
        <v>56</v>
      </c>
      <c r="F25" t="s">
        <v>57</v>
      </c>
      <c r="G25" t="s">
        <v>68</v>
      </c>
      <c r="H25" t="s">
        <v>69</v>
      </c>
      <c r="I25">
        <v>69.989999999999995</v>
      </c>
      <c r="J25">
        <v>1</v>
      </c>
      <c r="K25">
        <v>0.1</v>
      </c>
      <c r="L25">
        <v>69.989999999999995</v>
      </c>
      <c r="M25">
        <v>6.9989999999999997</v>
      </c>
      <c r="N25">
        <v>62.990999999999993</v>
      </c>
      <c r="O25" t="s">
        <v>70</v>
      </c>
      <c r="P25" t="s">
        <v>61</v>
      </c>
      <c r="Q25" t="s">
        <v>62</v>
      </c>
      <c r="R25" t="s">
        <v>627</v>
      </c>
      <c r="S25">
        <v>9</v>
      </c>
    </row>
    <row r="26" spans="1:19" x14ac:dyDescent="0.25">
      <c r="A26" t="s">
        <v>125</v>
      </c>
      <c r="B26" s="48">
        <v>45716</v>
      </c>
      <c r="C26" t="s">
        <v>97</v>
      </c>
      <c r="D26" t="s">
        <v>98</v>
      </c>
      <c r="E26" t="s">
        <v>88</v>
      </c>
      <c r="F26" t="s">
        <v>89</v>
      </c>
      <c r="G26" t="s">
        <v>94</v>
      </c>
      <c r="H26" t="s">
        <v>59</v>
      </c>
      <c r="I26">
        <v>12.99</v>
      </c>
      <c r="J26">
        <v>5</v>
      </c>
      <c r="K26">
        <v>0.1</v>
      </c>
      <c r="L26">
        <v>64.95</v>
      </c>
      <c r="M26">
        <v>6.495000000000001</v>
      </c>
      <c r="N26">
        <v>58.454999999999998</v>
      </c>
      <c r="O26" t="s">
        <v>70</v>
      </c>
      <c r="P26" t="s">
        <v>61</v>
      </c>
      <c r="Q26" t="s">
        <v>84</v>
      </c>
      <c r="R26" t="s">
        <v>622</v>
      </c>
      <c r="S26">
        <v>2</v>
      </c>
    </row>
    <row r="27" spans="1:19" x14ac:dyDescent="0.25">
      <c r="A27" t="s">
        <v>196</v>
      </c>
      <c r="B27" s="48">
        <v>45950</v>
      </c>
      <c r="C27" t="s">
        <v>100</v>
      </c>
      <c r="D27" t="s">
        <v>101</v>
      </c>
      <c r="E27" t="s">
        <v>66</v>
      </c>
      <c r="F27" t="s">
        <v>67</v>
      </c>
      <c r="G27" t="s">
        <v>94</v>
      </c>
      <c r="H27" t="s">
        <v>59</v>
      </c>
      <c r="I27">
        <v>12.99</v>
      </c>
      <c r="J27">
        <v>4</v>
      </c>
      <c r="K27">
        <v>0.05</v>
      </c>
      <c r="L27">
        <v>51.96</v>
      </c>
      <c r="M27">
        <v>2.5980000000000003</v>
      </c>
      <c r="N27">
        <v>49.362000000000002</v>
      </c>
      <c r="O27" t="s">
        <v>70</v>
      </c>
      <c r="P27" t="s">
        <v>61</v>
      </c>
      <c r="Q27" t="s">
        <v>62</v>
      </c>
      <c r="R27" t="s">
        <v>628</v>
      </c>
      <c r="S27">
        <v>10</v>
      </c>
    </row>
    <row r="28" spans="1:19" x14ac:dyDescent="0.25">
      <c r="A28" t="s">
        <v>205</v>
      </c>
      <c r="B28" s="48">
        <v>45982</v>
      </c>
      <c r="C28" t="s">
        <v>100</v>
      </c>
      <c r="D28" t="s">
        <v>101</v>
      </c>
      <c r="E28" t="s">
        <v>66</v>
      </c>
      <c r="F28" t="s">
        <v>67</v>
      </c>
      <c r="G28" t="s">
        <v>58</v>
      </c>
      <c r="H28" t="s">
        <v>59</v>
      </c>
      <c r="I28">
        <v>59.99</v>
      </c>
      <c r="J28">
        <v>1</v>
      </c>
      <c r="K28">
        <v>0.2</v>
      </c>
      <c r="L28">
        <v>59.99</v>
      </c>
      <c r="M28">
        <v>11.998000000000001</v>
      </c>
      <c r="N28">
        <v>47.992000000000004</v>
      </c>
      <c r="O28" t="s">
        <v>83</v>
      </c>
      <c r="P28" t="s">
        <v>61</v>
      </c>
      <c r="Q28" t="s">
        <v>84</v>
      </c>
      <c r="R28" t="s">
        <v>629</v>
      </c>
      <c r="S28">
        <v>11</v>
      </c>
    </row>
    <row r="29" spans="1:19" x14ac:dyDescent="0.25">
      <c r="A29" t="s">
        <v>160</v>
      </c>
      <c r="B29" s="48">
        <v>45814</v>
      </c>
      <c r="C29" t="s">
        <v>115</v>
      </c>
      <c r="D29" t="s">
        <v>116</v>
      </c>
      <c r="E29" t="s">
        <v>117</v>
      </c>
      <c r="F29" t="s">
        <v>118</v>
      </c>
      <c r="G29" t="s">
        <v>58</v>
      </c>
      <c r="H29" t="s">
        <v>59</v>
      </c>
      <c r="I29">
        <v>59.99</v>
      </c>
      <c r="J29">
        <v>1</v>
      </c>
      <c r="K29">
        <v>0.2</v>
      </c>
      <c r="L29">
        <v>59.99</v>
      </c>
      <c r="M29">
        <v>11.998000000000001</v>
      </c>
      <c r="N29">
        <v>47.992000000000004</v>
      </c>
      <c r="O29" t="s">
        <v>83</v>
      </c>
      <c r="P29" t="s">
        <v>61</v>
      </c>
      <c r="Q29" t="s">
        <v>84</v>
      </c>
      <c r="R29" t="s">
        <v>626</v>
      </c>
      <c r="S29">
        <v>6</v>
      </c>
    </row>
    <row r="30" spans="1:19" x14ac:dyDescent="0.25">
      <c r="A30" t="s">
        <v>158</v>
      </c>
      <c r="B30" s="48">
        <v>45802</v>
      </c>
      <c r="C30" t="s">
        <v>100</v>
      </c>
      <c r="D30" t="s">
        <v>101</v>
      </c>
      <c r="E30" t="s">
        <v>66</v>
      </c>
      <c r="F30" t="s">
        <v>67</v>
      </c>
      <c r="G30" t="s">
        <v>94</v>
      </c>
      <c r="H30" t="s">
        <v>59</v>
      </c>
      <c r="I30">
        <v>12.99</v>
      </c>
      <c r="J30">
        <v>1</v>
      </c>
      <c r="K30">
        <v>0</v>
      </c>
      <c r="L30">
        <v>12.99</v>
      </c>
      <c r="M30">
        <v>0</v>
      </c>
      <c r="N30">
        <v>12.99</v>
      </c>
      <c r="O30" t="s">
        <v>70</v>
      </c>
      <c r="P30" t="s">
        <v>61</v>
      </c>
      <c r="Q30" t="s">
        <v>62</v>
      </c>
      <c r="R30" t="s">
        <v>625</v>
      </c>
      <c r="S30">
        <v>5</v>
      </c>
    </row>
    <row r="31" spans="1:19" x14ac:dyDescent="0.25">
      <c r="A31" t="s">
        <v>91</v>
      </c>
      <c r="B31" s="48">
        <v>45690</v>
      </c>
      <c r="C31" t="s">
        <v>92</v>
      </c>
      <c r="D31" t="s">
        <v>93</v>
      </c>
      <c r="E31" t="s">
        <v>66</v>
      </c>
      <c r="F31" t="s">
        <v>67</v>
      </c>
      <c r="G31" t="s">
        <v>94</v>
      </c>
      <c r="H31" t="s">
        <v>59</v>
      </c>
      <c r="I31">
        <v>12.99</v>
      </c>
      <c r="J31">
        <v>1</v>
      </c>
      <c r="K31">
        <v>0</v>
      </c>
      <c r="L31">
        <v>12.99</v>
      </c>
      <c r="M31">
        <v>0</v>
      </c>
      <c r="N31">
        <v>12.99</v>
      </c>
      <c r="O31" t="s">
        <v>83</v>
      </c>
      <c r="P31" t="s">
        <v>61</v>
      </c>
      <c r="Q31" t="s">
        <v>72</v>
      </c>
      <c r="R31" t="s">
        <v>622</v>
      </c>
      <c r="S31">
        <v>2</v>
      </c>
    </row>
    <row r="32" spans="1:19" x14ac:dyDescent="0.25">
      <c r="A32" t="s">
        <v>202</v>
      </c>
      <c r="B32" s="48">
        <v>45970</v>
      </c>
      <c r="C32" t="s">
        <v>107</v>
      </c>
      <c r="D32" t="s">
        <v>108</v>
      </c>
      <c r="E32" t="s">
        <v>76</v>
      </c>
      <c r="F32" t="s">
        <v>77</v>
      </c>
      <c r="G32" t="s">
        <v>121</v>
      </c>
      <c r="H32" t="s">
        <v>59</v>
      </c>
      <c r="I32">
        <v>8.99</v>
      </c>
      <c r="J32">
        <v>1</v>
      </c>
      <c r="K32">
        <v>0.1</v>
      </c>
      <c r="L32">
        <v>8.99</v>
      </c>
      <c r="M32">
        <v>0.89900000000000002</v>
      </c>
      <c r="N32">
        <v>8.0910000000000011</v>
      </c>
      <c r="O32" t="s">
        <v>111</v>
      </c>
      <c r="P32" t="s">
        <v>61</v>
      </c>
      <c r="Q32" t="s">
        <v>62</v>
      </c>
      <c r="R32" t="s">
        <v>629</v>
      </c>
      <c r="S32">
        <v>11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79B0-8E22-45B9-B93E-C7A81C9EFF56}">
  <dimension ref="A1:S32"/>
  <sheetViews>
    <sheetView workbookViewId="0">
      <selection activeCell="F18" sqref="F18"/>
    </sheetView>
  </sheetViews>
  <sheetFormatPr defaultRowHeight="15" x14ac:dyDescent="0.25"/>
  <cols>
    <col min="1" max="1" width="18.140625" bestFit="1" customWidth="1"/>
    <col min="2" max="2" width="20.5703125" bestFit="1" customWidth="1"/>
    <col min="3" max="3" width="25.28515625" bestFit="1" customWidth="1"/>
    <col min="4" max="4" width="18.7109375" bestFit="1" customWidth="1"/>
    <col min="5" max="5" width="14" bestFit="1" customWidth="1"/>
    <col min="6" max="6" width="15.140625" bestFit="1" customWidth="1"/>
    <col min="7" max="7" width="17.5703125" bestFit="1" customWidth="1"/>
    <col min="8" max="8" width="18.5703125" bestFit="1" customWidth="1"/>
    <col min="9" max="9" width="22.42578125" bestFit="1" customWidth="1"/>
    <col min="10" max="10" width="18.42578125" bestFit="1" customWidth="1"/>
    <col min="11" max="11" width="20.5703125" bestFit="1" customWidth="1"/>
    <col min="12" max="12" width="33.140625" bestFit="1" customWidth="1"/>
    <col min="13" max="13" width="29.28515625" bestFit="1" customWidth="1"/>
    <col min="14" max="14" width="25.7109375" bestFit="1" customWidth="1"/>
    <col min="15" max="15" width="16.140625" bestFit="1" customWidth="1"/>
    <col min="16" max="16" width="19.140625" bestFit="1" customWidth="1"/>
    <col min="17" max="17" width="26.42578125" bestFit="1" customWidth="1"/>
    <col min="18" max="18" width="28.7109375" bestFit="1" customWidth="1"/>
    <col min="19" max="19" width="34.28515625" bestFit="1" customWidth="1"/>
  </cols>
  <sheetData>
    <row r="1" spans="1:19" x14ac:dyDescent="0.25">
      <c r="A1" s="67" t="s">
        <v>633</v>
      </c>
    </row>
    <row r="3" spans="1:19" x14ac:dyDescent="0.25">
      <c r="A3" t="s">
        <v>603</v>
      </c>
      <c r="B3" t="s">
        <v>604</v>
      </c>
      <c r="C3" t="s">
        <v>605</v>
      </c>
      <c r="D3" t="s">
        <v>606</v>
      </c>
      <c r="E3" t="s">
        <v>607</v>
      </c>
      <c r="F3" t="s">
        <v>608</v>
      </c>
      <c r="G3" t="s">
        <v>609</v>
      </c>
      <c r="H3" t="s">
        <v>610</v>
      </c>
      <c r="I3" t="s">
        <v>611</v>
      </c>
      <c r="J3" t="s">
        <v>612</v>
      </c>
      <c r="K3" t="s">
        <v>613</v>
      </c>
      <c r="L3" t="s">
        <v>614</v>
      </c>
      <c r="M3" t="s">
        <v>615</v>
      </c>
      <c r="N3" t="s">
        <v>616</v>
      </c>
      <c r="O3" t="s">
        <v>617</v>
      </c>
      <c r="P3" t="s">
        <v>618</v>
      </c>
      <c r="Q3" t="s">
        <v>619</v>
      </c>
      <c r="R3" t="s">
        <v>631</v>
      </c>
      <c r="S3" t="s">
        <v>632</v>
      </c>
    </row>
    <row r="4" spans="1:19" x14ac:dyDescent="0.25">
      <c r="A4" t="s">
        <v>112</v>
      </c>
      <c r="B4" s="48">
        <v>45704</v>
      </c>
      <c r="C4" t="s">
        <v>86</v>
      </c>
      <c r="D4" t="s">
        <v>87</v>
      </c>
      <c r="E4" t="s">
        <v>88</v>
      </c>
      <c r="F4" t="s">
        <v>89</v>
      </c>
      <c r="G4" t="s">
        <v>113</v>
      </c>
      <c r="H4" t="s">
        <v>69</v>
      </c>
      <c r="I4">
        <v>899.99</v>
      </c>
      <c r="J4">
        <v>5</v>
      </c>
      <c r="K4">
        <v>0</v>
      </c>
      <c r="L4">
        <v>4499.95</v>
      </c>
      <c r="M4">
        <v>0</v>
      </c>
      <c r="N4">
        <v>4499.95</v>
      </c>
      <c r="O4" t="s">
        <v>70</v>
      </c>
      <c r="P4" t="s">
        <v>61</v>
      </c>
      <c r="Q4" t="s">
        <v>62</v>
      </c>
      <c r="R4" t="s">
        <v>622</v>
      </c>
      <c r="S4">
        <v>2</v>
      </c>
    </row>
    <row r="5" spans="1:19" x14ac:dyDescent="0.25">
      <c r="A5" t="s">
        <v>212</v>
      </c>
      <c r="B5" s="48">
        <v>46005</v>
      </c>
      <c r="C5" t="s">
        <v>92</v>
      </c>
      <c r="D5" t="s">
        <v>93</v>
      </c>
      <c r="E5" t="s">
        <v>66</v>
      </c>
      <c r="F5" t="s">
        <v>67</v>
      </c>
      <c r="G5" t="s">
        <v>113</v>
      </c>
      <c r="H5" t="s">
        <v>69</v>
      </c>
      <c r="I5">
        <v>899.99</v>
      </c>
      <c r="J5">
        <v>5</v>
      </c>
      <c r="K5">
        <v>0.15</v>
      </c>
      <c r="L5">
        <v>4499.95</v>
      </c>
      <c r="M5">
        <v>674.99249999999995</v>
      </c>
      <c r="N5">
        <v>3824.9575</v>
      </c>
      <c r="O5" t="s">
        <v>111</v>
      </c>
      <c r="P5" t="s">
        <v>61</v>
      </c>
      <c r="Q5" t="s">
        <v>84</v>
      </c>
      <c r="R5" t="s">
        <v>630</v>
      </c>
      <c r="S5">
        <v>12</v>
      </c>
    </row>
    <row r="6" spans="1:19" x14ac:dyDescent="0.25">
      <c r="A6" t="s">
        <v>201</v>
      </c>
      <c r="B6" s="48">
        <v>45965</v>
      </c>
      <c r="C6" t="s">
        <v>86</v>
      </c>
      <c r="D6" t="s">
        <v>87</v>
      </c>
      <c r="E6" t="s">
        <v>88</v>
      </c>
      <c r="F6" t="s">
        <v>89</v>
      </c>
      <c r="G6" t="s">
        <v>113</v>
      </c>
      <c r="H6" t="s">
        <v>69</v>
      </c>
      <c r="I6">
        <v>899.99</v>
      </c>
      <c r="J6">
        <v>3</v>
      </c>
      <c r="K6">
        <v>0</v>
      </c>
      <c r="L6">
        <v>2699.9700000000003</v>
      </c>
      <c r="M6">
        <v>0</v>
      </c>
      <c r="N6">
        <v>2699.9700000000003</v>
      </c>
      <c r="O6" t="s">
        <v>70</v>
      </c>
      <c r="P6" t="s">
        <v>61</v>
      </c>
      <c r="Q6" t="s">
        <v>62</v>
      </c>
      <c r="R6" t="s">
        <v>629</v>
      </c>
      <c r="S6">
        <v>11</v>
      </c>
    </row>
    <row r="7" spans="1:19" x14ac:dyDescent="0.25">
      <c r="A7" t="s">
        <v>131</v>
      </c>
      <c r="B7" s="48">
        <v>45730</v>
      </c>
      <c r="C7" t="s">
        <v>132</v>
      </c>
      <c r="D7" t="s">
        <v>133</v>
      </c>
      <c r="E7" t="s">
        <v>56</v>
      </c>
      <c r="F7" t="s">
        <v>57</v>
      </c>
      <c r="G7" t="s">
        <v>113</v>
      </c>
      <c r="H7" t="s">
        <v>69</v>
      </c>
      <c r="I7">
        <v>899.99</v>
      </c>
      <c r="J7">
        <v>3</v>
      </c>
      <c r="K7">
        <v>0.2</v>
      </c>
      <c r="L7">
        <v>2699.9700000000003</v>
      </c>
      <c r="M7">
        <v>539.99400000000003</v>
      </c>
      <c r="N7">
        <v>2159.9760000000001</v>
      </c>
      <c r="O7" t="s">
        <v>70</v>
      </c>
      <c r="P7" t="s">
        <v>61</v>
      </c>
      <c r="Q7" t="s">
        <v>84</v>
      </c>
      <c r="R7" t="s">
        <v>623</v>
      </c>
      <c r="S7">
        <v>3</v>
      </c>
    </row>
    <row r="8" spans="1:19" x14ac:dyDescent="0.25">
      <c r="A8" t="s">
        <v>95</v>
      </c>
      <c r="B8" s="48">
        <v>45695</v>
      </c>
      <c r="C8" t="s">
        <v>92</v>
      </c>
      <c r="D8" t="s">
        <v>93</v>
      </c>
      <c r="E8" t="s">
        <v>66</v>
      </c>
      <c r="F8" t="s">
        <v>67</v>
      </c>
      <c r="G8" t="s">
        <v>78</v>
      </c>
      <c r="H8" t="s">
        <v>69</v>
      </c>
      <c r="I8">
        <v>349.99</v>
      </c>
      <c r="J8">
        <v>5</v>
      </c>
      <c r="K8">
        <v>0</v>
      </c>
      <c r="L8">
        <v>1749.95</v>
      </c>
      <c r="M8">
        <v>0</v>
      </c>
      <c r="N8">
        <v>1749.95</v>
      </c>
      <c r="O8" t="s">
        <v>60</v>
      </c>
      <c r="P8" t="s">
        <v>61</v>
      </c>
      <c r="Q8" t="s">
        <v>62</v>
      </c>
      <c r="R8" t="s">
        <v>622</v>
      </c>
      <c r="S8">
        <v>2</v>
      </c>
    </row>
    <row r="9" spans="1:19" x14ac:dyDescent="0.25">
      <c r="A9" t="s">
        <v>127</v>
      </c>
      <c r="B9" s="48">
        <v>45723</v>
      </c>
      <c r="C9" t="s">
        <v>107</v>
      </c>
      <c r="D9" t="s">
        <v>108</v>
      </c>
      <c r="E9" t="s">
        <v>76</v>
      </c>
      <c r="F9" t="s">
        <v>77</v>
      </c>
      <c r="G9" t="s">
        <v>109</v>
      </c>
      <c r="H9" t="s">
        <v>110</v>
      </c>
      <c r="I9">
        <v>499.99</v>
      </c>
      <c r="J9">
        <v>4</v>
      </c>
      <c r="K9">
        <v>0.15</v>
      </c>
      <c r="L9">
        <v>1999.96</v>
      </c>
      <c r="M9">
        <v>299.99399999999997</v>
      </c>
      <c r="N9">
        <v>1699.9660000000001</v>
      </c>
      <c r="O9" t="s">
        <v>111</v>
      </c>
      <c r="P9" t="s">
        <v>61</v>
      </c>
      <c r="Q9" t="s">
        <v>62</v>
      </c>
      <c r="R9" t="s">
        <v>623</v>
      </c>
      <c r="S9">
        <v>3</v>
      </c>
    </row>
    <row r="10" spans="1:19" x14ac:dyDescent="0.25">
      <c r="A10" t="s">
        <v>141</v>
      </c>
      <c r="B10" s="48">
        <v>45750</v>
      </c>
      <c r="C10" t="s">
        <v>64</v>
      </c>
      <c r="D10" t="s">
        <v>65</v>
      </c>
      <c r="E10" t="s">
        <v>66</v>
      </c>
      <c r="F10" t="s">
        <v>67</v>
      </c>
      <c r="G10" t="s">
        <v>142</v>
      </c>
      <c r="H10" t="s">
        <v>110</v>
      </c>
      <c r="I10">
        <v>299.99</v>
      </c>
      <c r="J10">
        <v>5</v>
      </c>
      <c r="K10">
        <v>0.1</v>
      </c>
      <c r="L10">
        <v>1499.95</v>
      </c>
      <c r="M10">
        <v>149.995</v>
      </c>
      <c r="N10">
        <v>1349.9549999999999</v>
      </c>
      <c r="O10" t="s">
        <v>70</v>
      </c>
      <c r="P10" t="s">
        <v>61</v>
      </c>
      <c r="Q10" t="s">
        <v>62</v>
      </c>
      <c r="R10" t="s">
        <v>624</v>
      </c>
      <c r="S10">
        <v>4</v>
      </c>
    </row>
    <row r="11" spans="1:19" x14ac:dyDescent="0.25">
      <c r="A11" t="s">
        <v>165</v>
      </c>
      <c r="B11" s="48">
        <v>45833</v>
      </c>
      <c r="C11" t="s">
        <v>81</v>
      </c>
      <c r="D11" t="s">
        <v>82</v>
      </c>
      <c r="E11" t="s">
        <v>76</v>
      </c>
      <c r="F11" t="s">
        <v>77</v>
      </c>
      <c r="G11" t="s">
        <v>163</v>
      </c>
      <c r="H11" t="s">
        <v>110</v>
      </c>
      <c r="I11">
        <v>149.99</v>
      </c>
      <c r="J11">
        <v>5</v>
      </c>
      <c r="K11">
        <v>0.15</v>
      </c>
      <c r="L11">
        <v>749.95</v>
      </c>
      <c r="M11">
        <v>112.49250000000001</v>
      </c>
      <c r="N11">
        <v>637.45749999999998</v>
      </c>
      <c r="O11" t="s">
        <v>70</v>
      </c>
      <c r="P11" t="s">
        <v>61</v>
      </c>
      <c r="Q11" t="s">
        <v>72</v>
      </c>
      <c r="R11" t="s">
        <v>626</v>
      </c>
      <c r="S11">
        <v>6</v>
      </c>
    </row>
    <row r="12" spans="1:19" x14ac:dyDescent="0.25">
      <c r="A12" t="s">
        <v>192</v>
      </c>
      <c r="B12" s="48">
        <v>45940</v>
      </c>
      <c r="C12" t="s">
        <v>92</v>
      </c>
      <c r="D12" t="s">
        <v>93</v>
      </c>
      <c r="E12" t="s">
        <v>66</v>
      </c>
      <c r="F12" t="s">
        <v>67</v>
      </c>
      <c r="G12" t="s">
        <v>109</v>
      </c>
      <c r="H12" t="s">
        <v>110</v>
      </c>
      <c r="I12">
        <v>499.99</v>
      </c>
      <c r="J12">
        <v>1</v>
      </c>
      <c r="K12">
        <v>0</v>
      </c>
      <c r="L12">
        <v>499.99</v>
      </c>
      <c r="M12">
        <v>0</v>
      </c>
      <c r="N12">
        <v>499.99</v>
      </c>
      <c r="O12" t="s">
        <v>70</v>
      </c>
      <c r="P12" t="s">
        <v>61</v>
      </c>
      <c r="Q12" t="s">
        <v>62</v>
      </c>
      <c r="R12" t="s">
        <v>628</v>
      </c>
      <c r="S12">
        <v>10</v>
      </c>
    </row>
    <row r="13" spans="1:19" x14ac:dyDescent="0.25">
      <c r="A13" t="s">
        <v>122</v>
      </c>
      <c r="B13" s="48">
        <v>45709</v>
      </c>
      <c r="C13" t="s">
        <v>97</v>
      </c>
      <c r="D13" t="s">
        <v>98</v>
      </c>
      <c r="E13" t="s">
        <v>88</v>
      </c>
      <c r="F13" t="s">
        <v>89</v>
      </c>
      <c r="G13" t="s">
        <v>109</v>
      </c>
      <c r="H13" t="s">
        <v>110</v>
      </c>
      <c r="I13">
        <v>499.99</v>
      </c>
      <c r="J13">
        <v>1</v>
      </c>
      <c r="K13">
        <v>0</v>
      </c>
      <c r="L13">
        <v>499.99</v>
      </c>
      <c r="M13">
        <v>0</v>
      </c>
      <c r="N13">
        <v>499.99</v>
      </c>
      <c r="O13" t="s">
        <v>70</v>
      </c>
      <c r="P13" t="s">
        <v>61</v>
      </c>
      <c r="Q13" t="s">
        <v>84</v>
      </c>
      <c r="R13" t="s">
        <v>622</v>
      </c>
      <c r="S13">
        <v>2</v>
      </c>
    </row>
    <row r="14" spans="1:19" x14ac:dyDescent="0.25">
      <c r="A14" t="s">
        <v>207</v>
      </c>
      <c r="B14" s="48">
        <v>45996</v>
      </c>
      <c r="C14" t="s">
        <v>64</v>
      </c>
      <c r="D14" t="s">
        <v>65</v>
      </c>
      <c r="E14" t="s">
        <v>66</v>
      </c>
      <c r="F14" t="s">
        <v>67</v>
      </c>
      <c r="G14" t="s">
        <v>163</v>
      </c>
      <c r="H14" t="s">
        <v>110</v>
      </c>
      <c r="I14">
        <v>149.99</v>
      </c>
      <c r="J14">
        <v>3</v>
      </c>
      <c r="K14">
        <v>0.1</v>
      </c>
      <c r="L14">
        <v>449.97</v>
      </c>
      <c r="M14">
        <v>44.997000000000007</v>
      </c>
      <c r="N14">
        <v>404.97300000000001</v>
      </c>
      <c r="O14" t="s">
        <v>60</v>
      </c>
      <c r="P14" t="s">
        <v>61</v>
      </c>
      <c r="Q14" t="s">
        <v>62</v>
      </c>
      <c r="R14" t="s">
        <v>630</v>
      </c>
      <c r="S14">
        <v>12</v>
      </c>
    </row>
    <row r="15" spans="1:19" x14ac:dyDescent="0.25">
      <c r="A15" t="s">
        <v>152</v>
      </c>
      <c r="B15" s="48">
        <v>45774</v>
      </c>
      <c r="C15" t="s">
        <v>54</v>
      </c>
      <c r="D15" t="s">
        <v>55</v>
      </c>
      <c r="E15" t="s">
        <v>56</v>
      </c>
      <c r="F15" t="s">
        <v>57</v>
      </c>
      <c r="G15" t="s">
        <v>90</v>
      </c>
      <c r="H15" t="s">
        <v>69</v>
      </c>
      <c r="I15">
        <v>129.99</v>
      </c>
      <c r="J15">
        <v>3</v>
      </c>
      <c r="K15">
        <v>0</v>
      </c>
      <c r="L15">
        <v>389.97</v>
      </c>
      <c r="M15">
        <v>0</v>
      </c>
      <c r="N15">
        <v>389.97</v>
      </c>
      <c r="O15" t="s">
        <v>83</v>
      </c>
      <c r="P15" t="s">
        <v>61</v>
      </c>
      <c r="Q15" t="s">
        <v>72</v>
      </c>
      <c r="R15" t="s">
        <v>624</v>
      </c>
      <c r="S15">
        <v>4</v>
      </c>
    </row>
    <row r="16" spans="1:19" x14ac:dyDescent="0.25">
      <c r="A16" t="s">
        <v>186</v>
      </c>
      <c r="B16" s="48">
        <v>45906</v>
      </c>
      <c r="C16" t="s">
        <v>92</v>
      </c>
      <c r="D16" t="s">
        <v>93</v>
      </c>
      <c r="E16" t="s">
        <v>66</v>
      </c>
      <c r="F16" t="s">
        <v>67</v>
      </c>
      <c r="G16" t="s">
        <v>104</v>
      </c>
      <c r="H16" t="s">
        <v>69</v>
      </c>
      <c r="I16">
        <v>79.989999999999995</v>
      </c>
      <c r="J16">
        <v>5</v>
      </c>
      <c r="K16">
        <v>0.05</v>
      </c>
      <c r="L16">
        <v>399.95</v>
      </c>
      <c r="M16">
        <v>19.997500000000002</v>
      </c>
      <c r="N16">
        <v>379.95249999999999</v>
      </c>
      <c r="O16" t="s">
        <v>70</v>
      </c>
      <c r="P16" t="s">
        <v>61</v>
      </c>
      <c r="Q16" t="s">
        <v>84</v>
      </c>
      <c r="R16" t="s">
        <v>627</v>
      </c>
      <c r="S16">
        <v>9</v>
      </c>
    </row>
    <row r="17" spans="1:19" x14ac:dyDescent="0.25">
      <c r="A17" t="s">
        <v>85</v>
      </c>
      <c r="B17" s="48">
        <v>45681</v>
      </c>
      <c r="C17" t="s">
        <v>86</v>
      </c>
      <c r="D17" t="s">
        <v>87</v>
      </c>
      <c r="E17" t="s">
        <v>88</v>
      </c>
      <c r="F17" t="s">
        <v>89</v>
      </c>
      <c r="G17" t="s">
        <v>90</v>
      </c>
      <c r="H17" t="s">
        <v>69</v>
      </c>
      <c r="I17">
        <v>129.99</v>
      </c>
      <c r="J17">
        <v>3</v>
      </c>
      <c r="K17">
        <v>0.1</v>
      </c>
      <c r="L17">
        <v>389.97</v>
      </c>
      <c r="M17">
        <v>38.997000000000007</v>
      </c>
      <c r="N17">
        <v>350.97300000000001</v>
      </c>
      <c r="O17" t="s">
        <v>83</v>
      </c>
      <c r="P17" t="s">
        <v>61</v>
      </c>
      <c r="Q17" t="s">
        <v>62</v>
      </c>
      <c r="R17" t="s">
        <v>621</v>
      </c>
      <c r="S17">
        <v>1</v>
      </c>
    </row>
    <row r="18" spans="1:19" x14ac:dyDescent="0.25">
      <c r="A18" t="s">
        <v>187</v>
      </c>
      <c r="B18" s="48">
        <v>45908</v>
      </c>
      <c r="C18" t="s">
        <v>107</v>
      </c>
      <c r="D18" t="s">
        <v>108</v>
      </c>
      <c r="E18" t="s">
        <v>76</v>
      </c>
      <c r="F18" t="s">
        <v>77</v>
      </c>
      <c r="G18" t="s">
        <v>104</v>
      </c>
      <c r="H18" t="s">
        <v>69</v>
      </c>
      <c r="I18">
        <v>79.989999999999995</v>
      </c>
      <c r="J18">
        <v>4</v>
      </c>
      <c r="K18">
        <v>0</v>
      </c>
      <c r="L18">
        <v>319.95999999999998</v>
      </c>
      <c r="M18">
        <v>0</v>
      </c>
      <c r="N18">
        <v>319.95999999999998</v>
      </c>
      <c r="O18" t="s">
        <v>60</v>
      </c>
      <c r="P18" t="s">
        <v>61</v>
      </c>
      <c r="Q18" t="s">
        <v>62</v>
      </c>
      <c r="R18" t="s">
        <v>627</v>
      </c>
      <c r="S18">
        <v>9</v>
      </c>
    </row>
    <row r="19" spans="1:19" x14ac:dyDescent="0.25">
      <c r="A19" t="s">
        <v>156</v>
      </c>
      <c r="B19" s="48">
        <v>45788</v>
      </c>
      <c r="C19" t="s">
        <v>92</v>
      </c>
      <c r="D19" t="s">
        <v>93</v>
      </c>
      <c r="E19" t="s">
        <v>66</v>
      </c>
      <c r="F19" t="s">
        <v>67</v>
      </c>
      <c r="G19" t="s">
        <v>142</v>
      </c>
      <c r="H19" t="s">
        <v>110</v>
      </c>
      <c r="I19">
        <v>299.99</v>
      </c>
      <c r="J19">
        <v>1</v>
      </c>
      <c r="K19">
        <v>0</v>
      </c>
      <c r="L19">
        <v>299.99</v>
      </c>
      <c r="M19">
        <v>0</v>
      </c>
      <c r="N19">
        <v>299.99</v>
      </c>
      <c r="O19" t="s">
        <v>70</v>
      </c>
      <c r="P19" t="s">
        <v>61</v>
      </c>
      <c r="Q19" t="s">
        <v>62</v>
      </c>
      <c r="R19" t="s">
        <v>625</v>
      </c>
      <c r="S19">
        <v>5</v>
      </c>
    </row>
    <row r="20" spans="1:19" x14ac:dyDescent="0.25">
      <c r="A20" t="s">
        <v>213</v>
      </c>
      <c r="B20" s="48">
        <v>46007</v>
      </c>
      <c r="C20" t="s">
        <v>74</v>
      </c>
      <c r="D20" t="s">
        <v>75</v>
      </c>
      <c r="E20" t="s">
        <v>76</v>
      </c>
      <c r="F20" t="s">
        <v>77</v>
      </c>
      <c r="G20" t="s">
        <v>68</v>
      </c>
      <c r="H20" t="s">
        <v>69</v>
      </c>
      <c r="I20">
        <v>69.989999999999995</v>
      </c>
      <c r="J20">
        <v>5</v>
      </c>
      <c r="K20">
        <v>0.2</v>
      </c>
      <c r="L20">
        <v>349.95</v>
      </c>
      <c r="M20">
        <v>69.989999999999995</v>
      </c>
      <c r="N20">
        <v>279.95999999999998</v>
      </c>
      <c r="O20" t="s">
        <v>70</v>
      </c>
      <c r="P20" t="s">
        <v>61</v>
      </c>
      <c r="Q20" t="s">
        <v>62</v>
      </c>
      <c r="R20" t="s">
        <v>630</v>
      </c>
      <c r="S20">
        <v>12</v>
      </c>
    </row>
    <row r="21" spans="1:19" x14ac:dyDescent="0.25">
      <c r="A21" t="s">
        <v>53</v>
      </c>
      <c r="B21" s="48">
        <v>45659</v>
      </c>
      <c r="C21" t="s">
        <v>54</v>
      </c>
      <c r="D21" t="s">
        <v>55</v>
      </c>
      <c r="E21" t="s">
        <v>56</v>
      </c>
      <c r="F21" t="s">
        <v>57</v>
      </c>
      <c r="G21" t="s">
        <v>58</v>
      </c>
      <c r="H21" t="s">
        <v>59</v>
      </c>
      <c r="I21">
        <v>59.99</v>
      </c>
      <c r="J21">
        <v>5</v>
      </c>
      <c r="K21">
        <v>0.2</v>
      </c>
      <c r="L21">
        <v>299.95</v>
      </c>
      <c r="M21">
        <v>59.99</v>
      </c>
      <c r="N21">
        <v>239.95999999999998</v>
      </c>
      <c r="O21" t="s">
        <v>60</v>
      </c>
      <c r="P21" t="s">
        <v>61</v>
      </c>
      <c r="Q21" t="s">
        <v>62</v>
      </c>
      <c r="R21" t="s">
        <v>621</v>
      </c>
      <c r="S21">
        <v>1</v>
      </c>
    </row>
    <row r="22" spans="1:19" x14ac:dyDescent="0.25">
      <c r="A22" t="s">
        <v>209</v>
      </c>
      <c r="B22" s="48">
        <v>45999</v>
      </c>
      <c r="C22" t="s">
        <v>54</v>
      </c>
      <c r="D22" t="s">
        <v>55</v>
      </c>
      <c r="E22" t="s">
        <v>56</v>
      </c>
      <c r="F22" t="s">
        <v>57</v>
      </c>
      <c r="G22" t="s">
        <v>129</v>
      </c>
      <c r="H22" t="s">
        <v>69</v>
      </c>
      <c r="I22">
        <v>49.99</v>
      </c>
      <c r="J22">
        <v>4</v>
      </c>
      <c r="K22">
        <v>0</v>
      </c>
      <c r="L22">
        <v>199.96</v>
      </c>
      <c r="M22">
        <v>0</v>
      </c>
      <c r="N22">
        <v>199.96</v>
      </c>
      <c r="O22" t="s">
        <v>111</v>
      </c>
      <c r="P22" t="s">
        <v>61</v>
      </c>
      <c r="Q22" t="s">
        <v>84</v>
      </c>
      <c r="R22" t="s">
        <v>630</v>
      </c>
      <c r="S22">
        <v>12</v>
      </c>
    </row>
    <row r="23" spans="1:19" x14ac:dyDescent="0.25">
      <c r="A23" t="s">
        <v>143</v>
      </c>
      <c r="B23" s="48">
        <v>45753</v>
      </c>
      <c r="C23" t="s">
        <v>86</v>
      </c>
      <c r="D23" t="s">
        <v>87</v>
      </c>
      <c r="E23" t="s">
        <v>88</v>
      </c>
      <c r="F23" t="s">
        <v>89</v>
      </c>
      <c r="G23" t="s">
        <v>135</v>
      </c>
      <c r="H23" t="s">
        <v>59</v>
      </c>
      <c r="I23">
        <v>24.99</v>
      </c>
      <c r="J23">
        <v>5</v>
      </c>
      <c r="K23">
        <v>0.05</v>
      </c>
      <c r="L23">
        <v>124.94999999999999</v>
      </c>
      <c r="M23">
        <v>6.2474999999999996</v>
      </c>
      <c r="N23">
        <v>118.70249999999999</v>
      </c>
      <c r="O23" t="s">
        <v>70</v>
      </c>
      <c r="P23" t="s">
        <v>61</v>
      </c>
      <c r="Q23" t="s">
        <v>62</v>
      </c>
      <c r="R23" t="s">
        <v>624</v>
      </c>
      <c r="S23">
        <v>4</v>
      </c>
    </row>
    <row r="24" spans="1:19" x14ac:dyDescent="0.25">
      <c r="A24" t="s">
        <v>126</v>
      </c>
      <c r="B24" s="48">
        <v>45718</v>
      </c>
      <c r="C24" t="s">
        <v>100</v>
      </c>
      <c r="D24" t="s">
        <v>101</v>
      </c>
      <c r="E24" t="s">
        <v>66</v>
      </c>
      <c r="F24" t="s">
        <v>67</v>
      </c>
      <c r="G24" t="s">
        <v>104</v>
      </c>
      <c r="H24" t="s">
        <v>69</v>
      </c>
      <c r="I24">
        <v>79.989999999999995</v>
      </c>
      <c r="J24">
        <v>1</v>
      </c>
      <c r="K24">
        <v>0</v>
      </c>
      <c r="L24">
        <v>79.989999999999995</v>
      </c>
      <c r="M24">
        <v>0</v>
      </c>
      <c r="N24">
        <v>79.989999999999995</v>
      </c>
      <c r="O24" t="s">
        <v>70</v>
      </c>
      <c r="P24" t="s">
        <v>61</v>
      </c>
      <c r="Q24" t="s">
        <v>62</v>
      </c>
      <c r="R24" t="s">
        <v>623</v>
      </c>
      <c r="S24">
        <v>3</v>
      </c>
    </row>
    <row r="25" spans="1:19" x14ac:dyDescent="0.25">
      <c r="A25" t="s">
        <v>184</v>
      </c>
      <c r="B25" s="48">
        <v>45903</v>
      </c>
      <c r="C25" t="s">
        <v>132</v>
      </c>
      <c r="D25" t="s">
        <v>133</v>
      </c>
      <c r="E25" t="s">
        <v>56</v>
      </c>
      <c r="F25" t="s">
        <v>57</v>
      </c>
      <c r="G25" t="s">
        <v>68</v>
      </c>
      <c r="H25" t="s">
        <v>69</v>
      </c>
      <c r="I25">
        <v>69.989999999999995</v>
      </c>
      <c r="J25">
        <v>1</v>
      </c>
      <c r="K25">
        <v>0.1</v>
      </c>
      <c r="L25">
        <v>69.989999999999995</v>
      </c>
      <c r="M25">
        <v>6.9989999999999997</v>
      </c>
      <c r="N25">
        <v>62.990999999999993</v>
      </c>
      <c r="O25" t="s">
        <v>70</v>
      </c>
      <c r="P25" t="s">
        <v>61</v>
      </c>
      <c r="Q25" t="s">
        <v>62</v>
      </c>
      <c r="R25" t="s">
        <v>627</v>
      </c>
      <c r="S25">
        <v>9</v>
      </c>
    </row>
    <row r="26" spans="1:19" x14ac:dyDescent="0.25">
      <c r="A26" t="s">
        <v>125</v>
      </c>
      <c r="B26" s="48">
        <v>45716</v>
      </c>
      <c r="C26" t="s">
        <v>97</v>
      </c>
      <c r="D26" t="s">
        <v>98</v>
      </c>
      <c r="E26" t="s">
        <v>88</v>
      </c>
      <c r="F26" t="s">
        <v>89</v>
      </c>
      <c r="G26" t="s">
        <v>94</v>
      </c>
      <c r="H26" t="s">
        <v>59</v>
      </c>
      <c r="I26">
        <v>12.99</v>
      </c>
      <c r="J26">
        <v>5</v>
      </c>
      <c r="K26">
        <v>0.1</v>
      </c>
      <c r="L26">
        <v>64.95</v>
      </c>
      <c r="M26">
        <v>6.495000000000001</v>
      </c>
      <c r="N26">
        <v>58.454999999999998</v>
      </c>
      <c r="O26" t="s">
        <v>70</v>
      </c>
      <c r="P26" t="s">
        <v>61</v>
      </c>
      <c r="Q26" t="s">
        <v>84</v>
      </c>
      <c r="R26" t="s">
        <v>622</v>
      </c>
      <c r="S26">
        <v>2</v>
      </c>
    </row>
    <row r="27" spans="1:19" x14ac:dyDescent="0.25">
      <c r="A27" t="s">
        <v>196</v>
      </c>
      <c r="B27" s="48">
        <v>45950</v>
      </c>
      <c r="C27" t="s">
        <v>100</v>
      </c>
      <c r="D27" t="s">
        <v>101</v>
      </c>
      <c r="E27" t="s">
        <v>66</v>
      </c>
      <c r="F27" t="s">
        <v>67</v>
      </c>
      <c r="G27" t="s">
        <v>94</v>
      </c>
      <c r="H27" t="s">
        <v>59</v>
      </c>
      <c r="I27">
        <v>12.99</v>
      </c>
      <c r="J27">
        <v>4</v>
      </c>
      <c r="K27">
        <v>0.05</v>
      </c>
      <c r="L27">
        <v>51.96</v>
      </c>
      <c r="M27">
        <v>2.5980000000000003</v>
      </c>
      <c r="N27">
        <v>49.362000000000002</v>
      </c>
      <c r="O27" t="s">
        <v>70</v>
      </c>
      <c r="P27" t="s">
        <v>61</v>
      </c>
      <c r="Q27" t="s">
        <v>62</v>
      </c>
      <c r="R27" t="s">
        <v>628</v>
      </c>
      <c r="S27">
        <v>10</v>
      </c>
    </row>
    <row r="28" spans="1:19" x14ac:dyDescent="0.25">
      <c r="A28" t="s">
        <v>205</v>
      </c>
      <c r="B28" s="48">
        <v>45982</v>
      </c>
      <c r="C28" t="s">
        <v>100</v>
      </c>
      <c r="D28" t="s">
        <v>101</v>
      </c>
      <c r="E28" t="s">
        <v>66</v>
      </c>
      <c r="F28" t="s">
        <v>67</v>
      </c>
      <c r="G28" t="s">
        <v>58</v>
      </c>
      <c r="H28" t="s">
        <v>59</v>
      </c>
      <c r="I28">
        <v>59.99</v>
      </c>
      <c r="J28">
        <v>1</v>
      </c>
      <c r="K28">
        <v>0.2</v>
      </c>
      <c r="L28">
        <v>59.99</v>
      </c>
      <c r="M28">
        <v>11.998000000000001</v>
      </c>
      <c r="N28">
        <v>47.992000000000004</v>
      </c>
      <c r="O28" t="s">
        <v>83</v>
      </c>
      <c r="P28" t="s">
        <v>61</v>
      </c>
      <c r="Q28" t="s">
        <v>84</v>
      </c>
      <c r="R28" t="s">
        <v>629</v>
      </c>
      <c r="S28">
        <v>11</v>
      </c>
    </row>
    <row r="29" spans="1:19" x14ac:dyDescent="0.25">
      <c r="A29" t="s">
        <v>160</v>
      </c>
      <c r="B29" s="48">
        <v>45814</v>
      </c>
      <c r="C29" t="s">
        <v>115</v>
      </c>
      <c r="D29" t="s">
        <v>116</v>
      </c>
      <c r="E29" t="s">
        <v>117</v>
      </c>
      <c r="F29" t="s">
        <v>118</v>
      </c>
      <c r="G29" t="s">
        <v>58</v>
      </c>
      <c r="H29" t="s">
        <v>59</v>
      </c>
      <c r="I29">
        <v>59.99</v>
      </c>
      <c r="J29">
        <v>1</v>
      </c>
      <c r="K29">
        <v>0.2</v>
      </c>
      <c r="L29">
        <v>59.99</v>
      </c>
      <c r="M29">
        <v>11.998000000000001</v>
      </c>
      <c r="N29">
        <v>47.992000000000004</v>
      </c>
      <c r="O29" t="s">
        <v>83</v>
      </c>
      <c r="P29" t="s">
        <v>61</v>
      </c>
      <c r="Q29" t="s">
        <v>84</v>
      </c>
      <c r="R29" t="s">
        <v>626</v>
      </c>
      <c r="S29">
        <v>6</v>
      </c>
    </row>
    <row r="30" spans="1:19" x14ac:dyDescent="0.25">
      <c r="A30" t="s">
        <v>158</v>
      </c>
      <c r="B30" s="48">
        <v>45802</v>
      </c>
      <c r="C30" t="s">
        <v>100</v>
      </c>
      <c r="D30" t="s">
        <v>101</v>
      </c>
      <c r="E30" t="s">
        <v>66</v>
      </c>
      <c r="F30" t="s">
        <v>67</v>
      </c>
      <c r="G30" t="s">
        <v>94</v>
      </c>
      <c r="H30" t="s">
        <v>59</v>
      </c>
      <c r="I30">
        <v>12.99</v>
      </c>
      <c r="J30">
        <v>1</v>
      </c>
      <c r="K30">
        <v>0</v>
      </c>
      <c r="L30">
        <v>12.99</v>
      </c>
      <c r="M30">
        <v>0</v>
      </c>
      <c r="N30">
        <v>12.99</v>
      </c>
      <c r="O30" t="s">
        <v>70</v>
      </c>
      <c r="P30" t="s">
        <v>61</v>
      </c>
      <c r="Q30" t="s">
        <v>62</v>
      </c>
      <c r="R30" t="s">
        <v>625</v>
      </c>
      <c r="S30">
        <v>5</v>
      </c>
    </row>
    <row r="31" spans="1:19" x14ac:dyDescent="0.25">
      <c r="A31" t="s">
        <v>91</v>
      </c>
      <c r="B31" s="48">
        <v>45690</v>
      </c>
      <c r="C31" t="s">
        <v>92</v>
      </c>
      <c r="D31" t="s">
        <v>93</v>
      </c>
      <c r="E31" t="s">
        <v>66</v>
      </c>
      <c r="F31" t="s">
        <v>67</v>
      </c>
      <c r="G31" t="s">
        <v>94</v>
      </c>
      <c r="H31" t="s">
        <v>59</v>
      </c>
      <c r="I31">
        <v>12.99</v>
      </c>
      <c r="J31">
        <v>1</v>
      </c>
      <c r="K31">
        <v>0</v>
      </c>
      <c r="L31">
        <v>12.99</v>
      </c>
      <c r="M31">
        <v>0</v>
      </c>
      <c r="N31">
        <v>12.99</v>
      </c>
      <c r="O31" t="s">
        <v>83</v>
      </c>
      <c r="P31" t="s">
        <v>61</v>
      </c>
      <c r="Q31" t="s">
        <v>72</v>
      </c>
      <c r="R31" t="s">
        <v>622</v>
      </c>
      <c r="S31">
        <v>2</v>
      </c>
    </row>
    <row r="32" spans="1:19" x14ac:dyDescent="0.25">
      <c r="A32" t="s">
        <v>202</v>
      </c>
      <c r="B32" s="48">
        <v>45970</v>
      </c>
      <c r="C32" t="s">
        <v>107</v>
      </c>
      <c r="D32" t="s">
        <v>108</v>
      </c>
      <c r="E32" t="s">
        <v>76</v>
      </c>
      <c r="F32" t="s">
        <v>77</v>
      </c>
      <c r="G32" t="s">
        <v>121</v>
      </c>
      <c r="H32" t="s">
        <v>59</v>
      </c>
      <c r="I32">
        <v>8.99</v>
      </c>
      <c r="J32">
        <v>1</v>
      </c>
      <c r="K32">
        <v>0.1</v>
      </c>
      <c r="L32">
        <v>8.99</v>
      </c>
      <c r="M32">
        <v>0.89900000000000002</v>
      </c>
      <c r="N32">
        <v>8.0910000000000011</v>
      </c>
      <c r="O32" t="s">
        <v>111</v>
      </c>
      <c r="P32" t="s">
        <v>61</v>
      </c>
      <c r="Q32" t="s">
        <v>62</v>
      </c>
      <c r="R32" t="s">
        <v>629</v>
      </c>
      <c r="S32">
        <v>11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9112-39FA-4CF1-AB50-C7FCFA1E2E2D}">
  <dimension ref="A1:S32"/>
  <sheetViews>
    <sheetView workbookViewId="0"/>
  </sheetViews>
  <sheetFormatPr defaultRowHeight="15" x14ac:dyDescent="0.25"/>
  <cols>
    <col min="1" max="1" width="18.140625" bestFit="1" customWidth="1"/>
    <col min="2" max="2" width="20.5703125" bestFit="1" customWidth="1"/>
    <col min="3" max="3" width="25.28515625" bestFit="1" customWidth="1"/>
    <col min="4" max="4" width="18.7109375" bestFit="1" customWidth="1"/>
    <col min="5" max="5" width="14" bestFit="1" customWidth="1"/>
    <col min="6" max="6" width="15.140625" bestFit="1" customWidth="1"/>
    <col min="7" max="7" width="17.5703125" bestFit="1" customWidth="1"/>
    <col min="8" max="8" width="18.5703125" bestFit="1" customWidth="1"/>
    <col min="9" max="9" width="22.42578125" bestFit="1" customWidth="1"/>
    <col min="10" max="10" width="18.42578125" bestFit="1" customWidth="1"/>
    <col min="11" max="11" width="20.5703125" bestFit="1" customWidth="1"/>
    <col min="12" max="12" width="33.140625" bestFit="1" customWidth="1"/>
    <col min="13" max="13" width="29.28515625" bestFit="1" customWidth="1"/>
    <col min="14" max="14" width="25.7109375" bestFit="1" customWidth="1"/>
    <col min="15" max="15" width="16.140625" bestFit="1" customWidth="1"/>
    <col min="16" max="16" width="19.140625" bestFit="1" customWidth="1"/>
    <col min="17" max="17" width="26.42578125" bestFit="1" customWidth="1"/>
    <col min="18" max="18" width="28.7109375" bestFit="1" customWidth="1"/>
    <col min="19" max="19" width="34.28515625" bestFit="1" customWidth="1"/>
  </cols>
  <sheetData>
    <row r="1" spans="1:19" x14ac:dyDescent="0.25">
      <c r="A1" s="67" t="s">
        <v>633</v>
      </c>
    </row>
    <row r="3" spans="1:19" x14ac:dyDescent="0.25">
      <c r="A3" t="s">
        <v>603</v>
      </c>
      <c r="B3" t="s">
        <v>604</v>
      </c>
      <c r="C3" t="s">
        <v>605</v>
      </c>
      <c r="D3" t="s">
        <v>606</v>
      </c>
      <c r="E3" t="s">
        <v>607</v>
      </c>
      <c r="F3" t="s">
        <v>608</v>
      </c>
      <c r="G3" t="s">
        <v>609</v>
      </c>
      <c r="H3" t="s">
        <v>610</v>
      </c>
      <c r="I3" t="s">
        <v>611</v>
      </c>
      <c r="J3" t="s">
        <v>612</v>
      </c>
      <c r="K3" t="s">
        <v>613</v>
      </c>
      <c r="L3" t="s">
        <v>614</v>
      </c>
      <c r="M3" t="s">
        <v>615</v>
      </c>
      <c r="N3" t="s">
        <v>616</v>
      </c>
      <c r="O3" t="s">
        <v>617</v>
      </c>
      <c r="P3" t="s">
        <v>618</v>
      </c>
      <c r="Q3" t="s">
        <v>619</v>
      </c>
      <c r="R3" t="s">
        <v>631</v>
      </c>
      <c r="S3" t="s">
        <v>632</v>
      </c>
    </row>
    <row r="4" spans="1:19" x14ac:dyDescent="0.25">
      <c r="A4" t="s">
        <v>112</v>
      </c>
      <c r="B4" s="48">
        <v>45704</v>
      </c>
      <c r="C4" t="s">
        <v>86</v>
      </c>
      <c r="D4" t="s">
        <v>87</v>
      </c>
      <c r="E4" t="s">
        <v>88</v>
      </c>
      <c r="F4" t="s">
        <v>89</v>
      </c>
      <c r="G4" t="s">
        <v>113</v>
      </c>
      <c r="H4" t="s">
        <v>69</v>
      </c>
      <c r="I4">
        <v>899.99</v>
      </c>
      <c r="J4">
        <v>5</v>
      </c>
      <c r="K4">
        <v>0</v>
      </c>
      <c r="L4">
        <v>4499.95</v>
      </c>
      <c r="M4">
        <v>0</v>
      </c>
      <c r="N4">
        <v>4499.95</v>
      </c>
      <c r="O4" t="s">
        <v>70</v>
      </c>
      <c r="P4" t="s">
        <v>61</v>
      </c>
      <c r="Q4" t="s">
        <v>62</v>
      </c>
      <c r="R4" t="s">
        <v>622</v>
      </c>
      <c r="S4">
        <v>2</v>
      </c>
    </row>
    <row r="5" spans="1:19" x14ac:dyDescent="0.25">
      <c r="A5" t="s">
        <v>212</v>
      </c>
      <c r="B5" s="48">
        <v>46005</v>
      </c>
      <c r="C5" t="s">
        <v>92</v>
      </c>
      <c r="D5" t="s">
        <v>93</v>
      </c>
      <c r="E5" t="s">
        <v>66</v>
      </c>
      <c r="F5" t="s">
        <v>67</v>
      </c>
      <c r="G5" t="s">
        <v>113</v>
      </c>
      <c r="H5" t="s">
        <v>69</v>
      </c>
      <c r="I5">
        <v>899.99</v>
      </c>
      <c r="J5">
        <v>5</v>
      </c>
      <c r="K5">
        <v>0.15</v>
      </c>
      <c r="L5">
        <v>4499.95</v>
      </c>
      <c r="M5">
        <v>674.99249999999995</v>
      </c>
      <c r="N5">
        <v>3824.9575</v>
      </c>
      <c r="O5" t="s">
        <v>111</v>
      </c>
      <c r="P5" t="s">
        <v>61</v>
      </c>
      <c r="Q5" t="s">
        <v>84</v>
      </c>
      <c r="R5" t="s">
        <v>630</v>
      </c>
      <c r="S5">
        <v>12</v>
      </c>
    </row>
    <row r="6" spans="1:19" x14ac:dyDescent="0.25">
      <c r="A6" t="s">
        <v>201</v>
      </c>
      <c r="B6" s="48">
        <v>45965</v>
      </c>
      <c r="C6" t="s">
        <v>86</v>
      </c>
      <c r="D6" t="s">
        <v>87</v>
      </c>
      <c r="E6" t="s">
        <v>88</v>
      </c>
      <c r="F6" t="s">
        <v>89</v>
      </c>
      <c r="G6" t="s">
        <v>113</v>
      </c>
      <c r="H6" t="s">
        <v>69</v>
      </c>
      <c r="I6">
        <v>899.99</v>
      </c>
      <c r="J6">
        <v>3</v>
      </c>
      <c r="K6">
        <v>0</v>
      </c>
      <c r="L6">
        <v>2699.9700000000003</v>
      </c>
      <c r="M6">
        <v>0</v>
      </c>
      <c r="N6">
        <v>2699.9700000000003</v>
      </c>
      <c r="O6" t="s">
        <v>70</v>
      </c>
      <c r="P6" t="s">
        <v>61</v>
      </c>
      <c r="Q6" t="s">
        <v>62</v>
      </c>
      <c r="R6" t="s">
        <v>629</v>
      </c>
      <c r="S6">
        <v>11</v>
      </c>
    </row>
    <row r="7" spans="1:19" x14ac:dyDescent="0.25">
      <c r="A7" t="s">
        <v>131</v>
      </c>
      <c r="B7" s="48">
        <v>45730</v>
      </c>
      <c r="C7" t="s">
        <v>132</v>
      </c>
      <c r="D7" t="s">
        <v>133</v>
      </c>
      <c r="E7" t="s">
        <v>56</v>
      </c>
      <c r="F7" t="s">
        <v>57</v>
      </c>
      <c r="G7" t="s">
        <v>113</v>
      </c>
      <c r="H7" t="s">
        <v>69</v>
      </c>
      <c r="I7">
        <v>899.99</v>
      </c>
      <c r="J7">
        <v>3</v>
      </c>
      <c r="K7">
        <v>0.2</v>
      </c>
      <c r="L7">
        <v>2699.9700000000003</v>
      </c>
      <c r="M7">
        <v>539.99400000000003</v>
      </c>
      <c r="N7">
        <v>2159.9760000000001</v>
      </c>
      <c r="O7" t="s">
        <v>70</v>
      </c>
      <c r="P7" t="s">
        <v>61</v>
      </c>
      <c r="Q7" t="s">
        <v>84</v>
      </c>
      <c r="R7" t="s">
        <v>623</v>
      </c>
      <c r="S7">
        <v>3</v>
      </c>
    </row>
    <row r="8" spans="1:19" x14ac:dyDescent="0.25">
      <c r="A8" t="s">
        <v>95</v>
      </c>
      <c r="B8" s="48">
        <v>45695</v>
      </c>
      <c r="C8" t="s">
        <v>92</v>
      </c>
      <c r="D8" t="s">
        <v>93</v>
      </c>
      <c r="E8" t="s">
        <v>66</v>
      </c>
      <c r="F8" t="s">
        <v>67</v>
      </c>
      <c r="G8" t="s">
        <v>78</v>
      </c>
      <c r="H8" t="s">
        <v>69</v>
      </c>
      <c r="I8">
        <v>349.99</v>
      </c>
      <c r="J8">
        <v>5</v>
      </c>
      <c r="K8">
        <v>0</v>
      </c>
      <c r="L8">
        <v>1749.95</v>
      </c>
      <c r="M8">
        <v>0</v>
      </c>
      <c r="N8">
        <v>1749.95</v>
      </c>
      <c r="O8" t="s">
        <v>60</v>
      </c>
      <c r="P8" t="s">
        <v>61</v>
      </c>
      <c r="Q8" t="s">
        <v>62</v>
      </c>
      <c r="R8" t="s">
        <v>622</v>
      </c>
      <c r="S8">
        <v>2</v>
      </c>
    </row>
    <row r="9" spans="1:19" x14ac:dyDescent="0.25">
      <c r="A9" t="s">
        <v>127</v>
      </c>
      <c r="B9" s="48">
        <v>45723</v>
      </c>
      <c r="C9" t="s">
        <v>107</v>
      </c>
      <c r="D9" t="s">
        <v>108</v>
      </c>
      <c r="E9" t="s">
        <v>76</v>
      </c>
      <c r="F9" t="s">
        <v>77</v>
      </c>
      <c r="G9" t="s">
        <v>109</v>
      </c>
      <c r="H9" t="s">
        <v>110</v>
      </c>
      <c r="I9">
        <v>499.99</v>
      </c>
      <c r="J9">
        <v>4</v>
      </c>
      <c r="K9">
        <v>0.15</v>
      </c>
      <c r="L9">
        <v>1999.96</v>
      </c>
      <c r="M9">
        <v>299.99399999999997</v>
      </c>
      <c r="N9">
        <v>1699.9660000000001</v>
      </c>
      <c r="O9" t="s">
        <v>111</v>
      </c>
      <c r="P9" t="s">
        <v>61</v>
      </c>
      <c r="Q9" t="s">
        <v>62</v>
      </c>
      <c r="R9" t="s">
        <v>623</v>
      </c>
      <c r="S9">
        <v>3</v>
      </c>
    </row>
    <row r="10" spans="1:19" x14ac:dyDescent="0.25">
      <c r="A10" t="s">
        <v>141</v>
      </c>
      <c r="B10" s="48">
        <v>45750</v>
      </c>
      <c r="C10" t="s">
        <v>64</v>
      </c>
      <c r="D10" t="s">
        <v>65</v>
      </c>
      <c r="E10" t="s">
        <v>66</v>
      </c>
      <c r="F10" t="s">
        <v>67</v>
      </c>
      <c r="G10" t="s">
        <v>142</v>
      </c>
      <c r="H10" t="s">
        <v>110</v>
      </c>
      <c r="I10">
        <v>299.99</v>
      </c>
      <c r="J10">
        <v>5</v>
      </c>
      <c r="K10">
        <v>0.1</v>
      </c>
      <c r="L10">
        <v>1499.95</v>
      </c>
      <c r="M10">
        <v>149.995</v>
      </c>
      <c r="N10">
        <v>1349.9549999999999</v>
      </c>
      <c r="O10" t="s">
        <v>70</v>
      </c>
      <c r="P10" t="s">
        <v>61</v>
      </c>
      <c r="Q10" t="s">
        <v>62</v>
      </c>
      <c r="R10" t="s">
        <v>624</v>
      </c>
      <c r="S10">
        <v>4</v>
      </c>
    </row>
    <row r="11" spans="1:19" x14ac:dyDescent="0.25">
      <c r="A11" t="s">
        <v>165</v>
      </c>
      <c r="B11" s="48">
        <v>45833</v>
      </c>
      <c r="C11" t="s">
        <v>81</v>
      </c>
      <c r="D11" t="s">
        <v>82</v>
      </c>
      <c r="E11" t="s">
        <v>76</v>
      </c>
      <c r="F11" t="s">
        <v>77</v>
      </c>
      <c r="G11" t="s">
        <v>163</v>
      </c>
      <c r="H11" t="s">
        <v>110</v>
      </c>
      <c r="I11">
        <v>149.99</v>
      </c>
      <c r="J11">
        <v>5</v>
      </c>
      <c r="K11">
        <v>0.15</v>
      </c>
      <c r="L11">
        <v>749.95</v>
      </c>
      <c r="M11">
        <v>112.49250000000001</v>
      </c>
      <c r="N11">
        <v>637.45749999999998</v>
      </c>
      <c r="O11" t="s">
        <v>70</v>
      </c>
      <c r="P11" t="s">
        <v>61</v>
      </c>
      <c r="Q11" t="s">
        <v>72</v>
      </c>
      <c r="R11" t="s">
        <v>626</v>
      </c>
      <c r="S11">
        <v>6</v>
      </c>
    </row>
    <row r="12" spans="1:19" x14ac:dyDescent="0.25">
      <c r="A12" t="s">
        <v>192</v>
      </c>
      <c r="B12" s="48">
        <v>45940</v>
      </c>
      <c r="C12" t="s">
        <v>92</v>
      </c>
      <c r="D12" t="s">
        <v>93</v>
      </c>
      <c r="E12" t="s">
        <v>66</v>
      </c>
      <c r="F12" t="s">
        <v>67</v>
      </c>
      <c r="G12" t="s">
        <v>109</v>
      </c>
      <c r="H12" t="s">
        <v>110</v>
      </c>
      <c r="I12">
        <v>499.99</v>
      </c>
      <c r="J12">
        <v>1</v>
      </c>
      <c r="K12">
        <v>0</v>
      </c>
      <c r="L12">
        <v>499.99</v>
      </c>
      <c r="M12">
        <v>0</v>
      </c>
      <c r="N12">
        <v>499.99</v>
      </c>
      <c r="O12" t="s">
        <v>70</v>
      </c>
      <c r="P12" t="s">
        <v>61</v>
      </c>
      <c r="Q12" t="s">
        <v>62</v>
      </c>
      <c r="R12" t="s">
        <v>628</v>
      </c>
      <c r="S12">
        <v>10</v>
      </c>
    </row>
    <row r="13" spans="1:19" x14ac:dyDescent="0.25">
      <c r="A13" t="s">
        <v>122</v>
      </c>
      <c r="B13" s="48">
        <v>45709</v>
      </c>
      <c r="C13" t="s">
        <v>97</v>
      </c>
      <c r="D13" t="s">
        <v>98</v>
      </c>
      <c r="E13" t="s">
        <v>88</v>
      </c>
      <c r="F13" t="s">
        <v>89</v>
      </c>
      <c r="G13" t="s">
        <v>109</v>
      </c>
      <c r="H13" t="s">
        <v>110</v>
      </c>
      <c r="I13">
        <v>499.99</v>
      </c>
      <c r="J13">
        <v>1</v>
      </c>
      <c r="K13">
        <v>0</v>
      </c>
      <c r="L13">
        <v>499.99</v>
      </c>
      <c r="M13">
        <v>0</v>
      </c>
      <c r="N13">
        <v>499.99</v>
      </c>
      <c r="O13" t="s">
        <v>70</v>
      </c>
      <c r="P13" t="s">
        <v>61</v>
      </c>
      <c r="Q13" t="s">
        <v>84</v>
      </c>
      <c r="R13" t="s">
        <v>622</v>
      </c>
      <c r="S13">
        <v>2</v>
      </c>
    </row>
    <row r="14" spans="1:19" x14ac:dyDescent="0.25">
      <c r="A14" t="s">
        <v>207</v>
      </c>
      <c r="B14" s="48">
        <v>45996</v>
      </c>
      <c r="C14" t="s">
        <v>64</v>
      </c>
      <c r="D14" t="s">
        <v>65</v>
      </c>
      <c r="E14" t="s">
        <v>66</v>
      </c>
      <c r="F14" t="s">
        <v>67</v>
      </c>
      <c r="G14" t="s">
        <v>163</v>
      </c>
      <c r="H14" t="s">
        <v>110</v>
      </c>
      <c r="I14">
        <v>149.99</v>
      </c>
      <c r="J14">
        <v>3</v>
      </c>
      <c r="K14">
        <v>0.1</v>
      </c>
      <c r="L14">
        <v>449.97</v>
      </c>
      <c r="M14">
        <v>44.997000000000007</v>
      </c>
      <c r="N14">
        <v>404.97300000000001</v>
      </c>
      <c r="O14" t="s">
        <v>60</v>
      </c>
      <c r="P14" t="s">
        <v>61</v>
      </c>
      <c r="Q14" t="s">
        <v>62</v>
      </c>
      <c r="R14" t="s">
        <v>630</v>
      </c>
      <c r="S14">
        <v>12</v>
      </c>
    </row>
    <row r="15" spans="1:19" x14ac:dyDescent="0.25">
      <c r="A15" t="s">
        <v>152</v>
      </c>
      <c r="B15" s="48">
        <v>45774</v>
      </c>
      <c r="C15" t="s">
        <v>54</v>
      </c>
      <c r="D15" t="s">
        <v>55</v>
      </c>
      <c r="E15" t="s">
        <v>56</v>
      </c>
      <c r="F15" t="s">
        <v>57</v>
      </c>
      <c r="G15" t="s">
        <v>90</v>
      </c>
      <c r="H15" t="s">
        <v>69</v>
      </c>
      <c r="I15">
        <v>129.99</v>
      </c>
      <c r="J15">
        <v>3</v>
      </c>
      <c r="K15">
        <v>0</v>
      </c>
      <c r="L15">
        <v>389.97</v>
      </c>
      <c r="M15">
        <v>0</v>
      </c>
      <c r="N15">
        <v>389.97</v>
      </c>
      <c r="O15" t="s">
        <v>83</v>
      </c>
      <c r="P15" t="s">
        <v>61</v>
      </c>
      <c r="Q15" t="s">
        <v>72</v>
      </c>
      <c r="R15" t="s">
        <v>624</v>
      </c>
      <c r="S15">
        <v>4</v>
      </c>
    </row>
    <row r="16" spans="1:19" x14ac:dyDescent="0.25">
      <c r="A16" t="s">
        <v>186</v>
      </c>
      <c r="B16" s="48">
        <v>45906</v>
      </c>
      <c r="C16" t="s">
        <v>92</v>
      </c>
      <c r="D16" t="s">
        <v>93</v>
      </c>
      <c r="E16" t="s">
        <v>66</v>
      </c>
      <c r="F16" t="s">
        <v>67</v>
      </c>
      <c r="G16" t="s">
        <v>104</v>
      </c>
      <c r="H16" t="s">
        <v>69</v>
      </c>
      <c r="I16">
        <v>79.989999999999995</v>
      </c>
      <c r="J16">
        <v>5</v>
      </c>
      <c r="K16">
        <v>0.05</v>
      </c>
      <c r="L16">
        <v>399.95</v>
      </c>
      <c r="M16">
        <v>19.997500000000002</v>
      </c>
      <c r="N16">
        <v>379.95249999999999</v>
      </c>
      <c r="O16" t="s">
        <v>70</v>
      </c>
      <c r="P16" t="s">
        <v>61</v>
      </c>
      <c r="Q16" t="s">
        <v>84</v>
      </c>
      <c r="R16" t="s">
        <v>627</v>
      </c>
      <c r="S16">
        <v>9</v>
      </c>
    </row>
    <row r="17" spans="1:19" x14ac:dyDescent="0.25">
      <c r="A17" t="s">
        <v>85</v>
      </c>
      <c r="B17" s="48">
        <v>45681</v>
      </c>
      <c r="C17" t="s">
        <v>86</v>
      </c>
      <c r="D17" t="s">
        <v>87</v>
      </c>
      <c r="E17" t="s">
        <v>88</v>
      </c>
      <c r="F17" t="s">
        <v>89</v>
      </c>
      <c r="G17" t="s">
        <v>90</v>
      </c>
      <c r="H17" t="s">
        <v>69</v>
      </c>
      <c r="I17">
        <v>129.99</v>
      </c>
      <c r="J17">
        <v>3</v>
      </c>
      <c r="K17">
        <v>0.1</v>
      </c>
      <c r="L17">
        <v>389.97</v>
      </c>
      <c r="M17">
        <v>38.997000000000007</v>
      </c>
      <c r="N17">
        <v>350.97300000000001</v>
      </c>
      <c r="O17" t="s">
        <v>83</v>
      </c>
      <c r="P17" t="s">
        <v>61</v>
      </c>
      <c r="Q17" t="s">
        <v>62</v>
      </c>
      <c r="R17" t="s">
        <v>621</v>
      </c>
      <c r="S17">
        <v>1</v>
      </c>
    </row>
    <row r="18" spans="1:19" x14ac:dyDescent="0.25">
      <c r="A18" t="s">
        <v>187</v>
      </c>
      <c r="B18" s="48">
        <v>45908</v>
      </c>
      <c r="C18" t="s">
        <v>107</v>
      </c>
      <c r="D18" t="s">
        <v>108</v>
      </c>
      <c r="E18" t="s">
        <v>76</v>
      </c>
      <c r="F18" t="s">
        <v>77</v>
      </c>
      <c r="G18" t="s">
        <v>104</v>
      </c>
      <c r="H18" t="s">
        <v>69</v>
      </c>
      <c r="I18">
        <v>79.989999999999995</v>
      </c>
      <c r="J18">
        <v>4</v>
      </c>
      <c r="K18">
        <v>0</v>
      </c>
      <c r="L18">
        <v>319.95999999999998</v>
      </c>
      <c r="M18">
        <v>0</v>
      </c>
      <c r="N18">
        <v>319.95999999999998</v>
      </c>
      <c r="O18" t="s">
        <v>60</v>
      </c>
      <c r="P18" t="s">
        <v>61</v>
      </c>
      <c r="Q18" t="s">
        <v>62</v>
      </c>
      <c r="R18" t="s">
        <v>627</v>
      </c>
      <c r="S18">
        <v>9</v>
      </c>
    </row>
    <row r="19" spans="1:19" x14ac:dyDescent="0.25">
      <c r="A19" t="s">
        <v>156</v>
      </c>
      <c r="B19" s="48">
        <v>45788</v>
      </c>
      <c r="C19" t="s">
        <v>92</v>
      </c>
      <c r="D19" t="s">
        <v>93</v>
      </c>
      <c r="E19" t="s">
        <v>66</v>
      </c>
      <c r="F19" t="s">
        <v>67</v>
      </c>
      <c r="G19" t="s">
        <v>142</v>
      </c>
      <c r="H19" t="s">
        <v>110</v>
      </c>
      <c r="I19">
        <v>299.99</v>
      </c>
      <c r="J19">
        <v>1</v>
      </c>
      <c r="K19">
        <v>0</v>
      </c>
      <c r="L19">
        <v>299.99</v>
      </c>
      <c r="M19">
        <v>0</v>
      </c>
      <c r="N19">
        <v>299.99</v>
      </c>
      <c r="O19" t="s">
        <v>70</v>
      </c>
      <c r="P19" t="s">
        <v>61</v>
      </c>
      <c r="Q19" t="s">
        <v>62</v>
      </c>
      <c r="R19" t="s">
        <v>625</v>
      </c>
      <c r="S19">
        <v>5</v>
      </c>
    </row>
    <row r="20" spans="1:19" x14ac:dyDescent="0.25">
      <c r="A20" t="s">
        <v>213</v>
      </c>
      <c r="B20" s="48">
        <v>46007</v>
      </c>
      <c r="C20" t="s">
        <v>74</v>
      </c>
      <c r="D20" t="s">
        <v>75</v>
      </c>
      <c r="E20" t="s">
        <v>76</v>
      </c>
      <c r="F20" t="s">
        <v>77</v>
      </c>
      <c r="G20" t="s">
        <v>68</v>
      </c>
      <c r="H20" t="s">
        <v>69</v>
      </c>
      <c r="I20">
        <v>69.989999999999995</v>
      </c>
      <c r="J20">
        <v>5</v>
      </c>
      <c r="K20">
        <v>0.2</v>
      </c>
      <c r="L20">
        <v>349.95</v>
      </c>
      <c r="M20">
        <v>69.989999999999995</v>
      </c>
      <c r="N20">
        <v>279.95999999999998</v>
      </c>
      <c r="O20" t="s">
        <v>70</v>
      </c>
      <c r="P20" t="s">
        <v>61</v>
      </c>
      <c r="Q20" t="s">
        <v>62</v>
      </c>
      <c r="R20" t="s">
        <v>630</v>
      </c>
      <c r="S20">
        <v>12</v>
      </c>
    </row>
    <row r="21" spans="1:19" x14ac:dyDescent="0.25">
      <c r="A21" t="s">
        <v>53</v>
      </c>
      <c r="B21" s="48">
        <v>45659</v>
      </c>
      <c r="C21" t="s">
        <v>54</v>
      </c>
      <c r="D21" t="s">
        <v>55</v>
      </c>
      <c r="E21" t="s">
        <v>56</v>
      </c>
      <c r="F21" t="s">
        <v>57</v>
      </c>
      <c r="G21" t="s">
        <v>58</v>
      </c>
      <c r="H21" t="s">
        <v>59</v>
      </c>
      <c r="I21">
        <v>59.99</v>
      </c>
      <c r="J21">
        <v>5</v>
      </c>
      <c r="K21">
        <v>0.2</v>
      </c>
      <c r="L21">
        <v>299.95</v>
      </c>
      <c r="M21">
        <v>59.99</v>
      </c>
      <c r="N21">
        <v>239.95999999999998</v>
      </c>
      <c r="O21" t="s">
        <v>60</v>
      </c>
      <c r="P21" t="s">
        <v>61</v>
      </c>
      <c r="Q21" t="s">
        <v>62</v>
      </c>
      <c r="R21" t="s">
        <v>621</v>
      </c>
      <c r="S21">
        <v>1</v>
      </c>
    </row>
    <row r="22" spans="1:19" x14ac:dyDescent="0.25">
      <c r="A22" t="s">
        <v>209</v>
      </c>
      <c r="B22" s="48">
        <v>45999</v>
      </c>
      <c r="C22" t="s">
        <v>54</v>
      </c>
      <c r="D22" t="s">
        <v>55</v>
      </c>
      <c r="E22" t="s">
        <v>56</v>
      </c>
      <c r="F22" t="s">
        <v>57</v>
      </c>
      <c r="G22" t="s">
        <v>129</v>
      </c>
      <c r="H22" t="s">
        <v>69</v>
      </c>
      <c r="I22">
        <v>49.99</v>
      </c>
      <c r="J22">
        <v>4</v>
      </c>
      <c r="K22">
        <v>0</v>
      </c>
      <c r="L22">
        <v>199.96</v>
      </c>
      <c r="M22">
        <v>0</v>
      </c>
      <c r="N22">
        <v>199.96</v>
      </c>
      <c r="O22" t="s">
        <v>111</v>
      </c>
      <c r="P22" t="s">
        <v>61</v>
      </c>
      <c r="Q22" t="s">
        <v>84</v>
      </c>
      <c r="R22" t="s">
        <v>630</v>
      </c>
      <c r="S22">
        <v>12</v>
      </c>
    </row>
    <row r="23" spans="1:19" x14ac:dyDescent="0.25">
      <c r="A23" t="s">
        <v>143</v>
      </c>
      <c r="B23" s="48">
        <v>45753</v>
      </c>
      <c r="C23" t="s">
        <v>86</v>
      </c>
      <c r="D23" t="s">
        <v>87</v>
      </c>
      <c r="E23" t="s">
        <v>88</v>
      </c>
      <c r="F23" t="s">
        <v>89</v>
      </c>
      <c r="G23" t="s">
        <v>135</v>
      </c>
      <c r="H23" t="s">
        <v>59</v>
      </c>
      <c r="I23">
        <v>24.99</v>
      </c>
      <c r="J23">
        <v>5</v>
      </c>
      <c r="K23">
        <v>0.05</v>
      </c>
      <c r="L23">
        <v>124.94999999999999</v>
      </c>
      <c r="M23">
        <v>6.2474999999999996</v>
      </c>
      <c r="N23">
        <v>118.70249999999999</v>
      </c>
      <c r="O23" t="s">
        <v>70</v>
      </c>
      <c r="P23" t="s">
        <v>61</v>
      </c>
      <c r="Q23" t="s">
        <v>62</v>
      </c>
      <c r="R23" t="s">
        <v>624</v>
      </c>
      <c r="S23">
        <v>4</v>
      </c>
    </row>
    <row r="24" spans="1:19" x14ac:dyDescent="0.25">
      <c r="A24" t="s">
        <v>126</v>
      </c>
      <c r="B24" s="48">
        <v>45718</v>
      </c>
      <c r="C24" t="s">
        <v>100</v>
      </c>
      <c r="D24" t="s">
        <v>101</v>
      </c>
      <c r="E24" t="s">
        <v>66</v>
      </c>
      <c r="F24" t="s">
        <v>67</v>
      </c>
      <c r="G24" t="s">
        <v>104</v>
      </c>
      <c r="H24" t="s">
        <v>69</v>
      </c>
      <c r="I24">
        <v>79.989999999999995</v>
      </c>
      <c r="J24">
        <v>1</v>
      </c>
      <c r="K24">
        <v>0</v>
      </c>
      <c r="L24">
        <v>79.989999999999995</v>
      </c>
      <c r="M24">
        <v>0</v>
      </c>
      <c r="N24">
        <v>79.989999999999995</v>
      </c>
      <c r="O24" t="s">
        <v>70</v>
      </c>
      <c r="P24" t="s">
        <v>61</v>
      </c>
      <c r="Q24" t="s">
        <v>62</v>
      </c>
      <c r="R24" t="s">
        <v>623</v>
      </c>
      <c r="S24">
        <v>3</v>
      </c>
    </row>
    <row r="25" spans="1:19" x14ac:dyDescent="0.25">
      <c r="A25" t="s">
        <v>184</v>
      </c>
      <c r="B25" s="48">
        <v>45903</v>
      </c>
      <c r="C25" t="s">
        <v>132</v>
      </c>
      <c r="D25" t="s">
        <v>133</v>
      </c>
      <c r="E25" t="s">
        <v>56</v>
      </c>
      <c r="F25" t="s">
        <v>57</v>
      </c>
      <c r="G25" t="s">
        <v>68</v>
      </c>
      <c r="H25" t="s">
        <v>69</v>
      </c>
      <c r="I25">
        <v>69.989999999999995</v>
      </c>
      <c r="J25">
        <v>1</v>
      </c>
      <c r="K25">
        <v>0.1</v>
      </c>
      <c r="L25">
        <v>69.989999999999995</v>
      </c>
      <c r="M25">
        <v>6.9989999999999997</v>
      </c>
      <c r="N25">
        <v>62.990999999999993</v>
      </c>
      <c r="O25" t="s">
        <v>70</v>
      </c>
      <c r="P25" t="s">
        <v>61</v>
      </c>
      <c r="Q25" t="s">
        <v>62</v>
      </c>
      <c r="R25" t="s">
        <v>627</v>
      </c>
      <c r="S25">
        <v>9</v>
      </c>
    </row>
    <row r="26" spans="1:19" x14ac:dyDescent="0.25">
      <c r="A26" t="s">
        <v>125</v>
      </c>
      <c r="B26" s="48">
        <v>45716</v>
      </c>
      <c r="C26" t="s">
        <v>97</v>
      </c>
      <c r="D26" t="s">
        <v>98</v>
      </c>
      <c r="E26" t="s">
        <v>88</v>
      </c>
      <c r="F26" t="s">
        <v>89</v>
      </c>
      <c r="G26" t="s">
        <v>94</v>
      </c>
      <c r="H26" t="s">
        <v>59</v>
      </c>
      <c r="I26">
        <v>12.99</v>
      </c>
      <c r="J26">
        <v>5</v>
      </c>
      <c r="K26">
        <v>0.1</v>
      </c>
      <c r="L26">
        <v>64.95</v>
      </c>
      <c r="M26">
        <v>6.495000000000001</v>
      </c>
      <c r="N26">
        <v>58.454999999999998</v>
      </c>
      <c r="O26" t="s">
        <v>70</v>
      </c>
      <c r="P26" t="s">
        <v>61</v>
      </c>
      <c r="Q26" t="s">
        <v>84</v>
      </c>
      <c r="R26" t="s">
        <v>622</v>
      </c>
      <c r="S26">
        <v>2</v>
      </c>
    </row>
    <row r="27" spans="1:19" x14ac:dyDescent="0.25">
      <c r="A27" t="s">
        <v>196</v>
      </c>
      <c r="B27" s="48">
        <v>45950</v>
      </c>
      <c r="C27" t="s">
        <v>100</v>
      </c>
      <c r="D27" t="s">
        <v>101</v>
      </c>
      <c r="E27" t="s">
        <v>66</v>
      </c>
      <c r="F27" t="s">
        <v>67</v>
      </c>
      <c r="G27" t="s">
        <v>94</v>
      </c>
      <c r="H27" t="s">
        <v>59</v>
      </c>
      <c r="I27">
        <v>12.99</v>
      </c>
      <c r="J27">
        <v>4</v>
      </c>
      <c r="K27">
        <v>0.05</v>
      </c>
      <c r="L27">
        <v>51.96</v>
      </c>
      <c r="M27">
        <v>2.5980000000000003</v>
      </c>
      <c r="N27">
        <v>49.362000000000002</v>
      </c>
      <c r="O27" t="s">
        <v>70</v>
      </c>
      <c r="P27" t="s">
        <v>61</v>
      </c>
      <c r="Q27" t="s">
        <v>62</v>
      </c>
      <c r="R27" t="s">
        <v>628</v>
      </c>
      <c r="S27">
        <v>10</v>
      </c>
    </row>
    <row r="28" spans="1:19" x14ac:dyDescent="0.25">
      <c r="A28" t="s">
        <v>205</v>
      </c>
      <c r="B28" s="48">
        <v>45982</v>
      </c>
      <c r="C28" t="s">
        <v>100</v>
      </c>
      <c r="D28" t="s">
        <v>101</v>
      </c>
      <c r="E28" t="s">
        <v>66</v>
      </c>
      <c r="F28" t="s">
        <v>67</v>
      </c>
      <c r="G28" t="s">
        <v>58</v>
      </c>
      <c r="H28" t="s">
        <v>59</v>
      </c>
      <c r="I28">
        <v>59.99</v>
      </c>
      <c r="J28">
        <v>1</v>
      </c>
      <c r="K28">
        <v>0.2</v>
      </c>
      <c r="L28">
        <v>59.99</v>
      </c>
      <c r="M28">
        <v>11.998000000000001</v>
      </c>
      <c r="N28">
        <v>47.992000000000004</v>
      </c>
      <c r="O28" t="s">
        <v>83</v>
      </c>
      <c r="P28" t="s">
        <v>61</v>
      </c>
      <c r="Q28" t="s">
        <v>84</v>
      </c>
      <c r="R28" t="s">
        <v>629</v>
      </c>
      <c r="S28">
        <v>11</v>
      </c>
    </row>
    <row r="29" spans="1:19" x14ac:dyDescent="0.25">
      <c r="A29" t="s">
        <v>160</v>
      </c>
      <c r="B29" s="48">
        <v>45814</v>
      </c>
      <c r="C29" t="s">
        <v>115</v>
      </c>
      <c r="D29" t="s">
        <v>116</v>
      </c>
      <c r="E29" t="s">
        <v>117</v>
      </c>
      <c r="F29" t="s">
        <v>118</v>
      </c>
      <c r="G29" t="s">
        <v>58</v>
      </c>
      <c r="H29" t="s">
        <v>59</v>
      </c>
      <c r="I29">
        <v>59.99</v>
      </c>
      <c r="J29">
        <v>1</v>
      </c>
      <c r="K29">
        <v>0.2</v>
      </c>
      <c r="L29">
        <v>59.99</v>
      </c>
      <c r="M29">
        <v>11.998000000000001</v>
      </c>
      <c r="N29">
        <v>47.992000000000004</v>
      </c>
      <c r="O29" t="s">
        <v>83</v>
      </c>
      <c r="P29" t="s">
        <v>61</v>
      </c>
      <c r="Q29" t="s">
        <v>84</v>
      </c>
      <c r="R29" t="s">
        <v>626</v>
      </c>
      <c r="S29">
        <v>6</v>
      </c>
    </row>
    <row r="30" spans="1:19" x14ac:dyDescent="0.25">
      <c r="A30" t="s">
        <v>158</v>
      </c>
      <c r="B30" s="48">
        <v>45802</v>
      </c>
      <c r="C30" t="s">
        <v>100</v>
      </c>
      <c r="D30" t="s">
        <v>101</v>
      </c>
      <c r="E30" t="s">
        <v>66</v>
      </c>
      <c r="F30" t="s">
        <v>67</v>
      </c>
      <c r="G30" t="s">
        <v>94</v>
      </c>
      <c r="H30" t="s">
        <v>59</v>
      </c>
      <c r="I30">
        <v>12.99</v>
      </c>
      <c r="J30">
        <v>1</v>
      </c>
      <c r="K30">
        <v>0</v>
      </c>
      <c r="L30">
        <v>12.99</v>
      </c>
      <c r="M30">
        <v>0</v>
      </c>
      <c r="N30">
        <v>12.99</v>
      </c>
      <c r="O30" t="s">
        <v>70</v>
      </c>
      <c r="P30" t="s">
        <v>61</v>
      </c>
      <c r="Q30" t="s">
        <v>62</v>
      </c>
      <c r="R30" t="s">
        <v>625</v>
      </c>
      <c r="S30">
        <v>5</v>
      </c>
    </row>
    <row r="31" spans="1:19" x14ac:dyDescent="0.25">
      <c r="A31" t="s">
        <v>91</v>
      </c>
      <c r="B31" s="48">
        <v>45690</v>
      </c>
      <c r="C31" t="s">
        <v>92</v>
      </c>
      <c r="D31" t="s">
        <v>93</v>
      </c>
      <c r="E31" t="s">
        <v>66</v>
      </c>
      <c r="F31" t="s">
        <v>67</v>
      </c>
      <c r="G31" t="s">
        <v>94</v>
      </c>
      <c r="H31" t="s">
        <v>59</v>
      </c>
      <c r="I31">
        <v>12.99</v>
      </c>
      <c r="J31">
        <v>1</v>
      </c>
      <c r="K31">
        <v>0</v>
      </c>
      <c r="L31">
        <v>12.99</v>
      </c>
      <c r="M31">
        <v>0</v>
      </c>
      <c r="N31">
        <v>12.99</v>
      </c>
      <c r="O31" t="s">
        <v>83</v>
      </c>
      <c r="P31" t="s">
        <v>61</v>
      </c>
      <c r="Q31" t="s">
        <v>72</v>
      </c>
      <c r="R31" t="s">
        <v>622</v>
      </c>
      <c r="S31">
        <v>2</v>
      </c>
    </row>
    <row r="32" spans="1:19" x14ac:dyDescent="0.25">
      <c r="A32" t="s">
        <v>202</v>
      </c>
      <c r="B32" s="48">
        <v>45970</v>
      </c>
      <c r="C32" t="s">
        <v>107</v>
      </c>
      <c r="D32" t="s">
        <v>108</v>
      </c>
      <c r="E32" t="s">
        <v>76</v>
      </c>
      <c r="F32" t="s">
        <v>77</v>
      </c>
      <c r="G32" t="s">
        <v>121</v>
      </c>
      <c r="H32" t="s">
        <v>59</v>
      </c>
      <c r="I32">
        <v>8.99</v>
      </c>
      <c r="J32">
        <v>1</v>
      </c>
      <c r="K32">
        <v>0.1</v>
      </c>
      <c r="L32">
        <v>8.99</v>
      </c>
      <c r="M32">
        <v>0.89900000000000002</v>
      </c>
      <c r="N32">
        <v>8.0910000000000011</v>
      </c>
      <c r="O32" t="s">
        <v>111</v>
      </c>
      <c r="P32" t="s">
        <v>61</v>
      </c>
      <c r="Q32" t="s">
        <v>62</v>
      </c>
      <c r="R32" t="s">
        <v>629</v>
      </c>
      <c r="S32">
        <v>11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6600"/>
  </sheetPr>
  <dimension ref="A1:O135"/>
  <sheetViews>
    <sheetView zoomScale="69" zoomScaleNormal="145" workbookViewId="0">
      <selection activeCell="J38" sqref="J38"/>
    </sheetView>
  </sheetViews>
  <sheetFormatPr defaultColWidth="8.7109375" defaultRowHeight="15" x14ac:dyDescent="0.25"/>
  <cols>
    <col min="1" max="8" width="16" customWidth="1"/>
    <col min="9" max="9" width="13.140625" bestFit="1" customWidth="1"/>
    <col min="10" max="10" width="22.7109375" bestFit="1" customWidth="1"/>
    <col min="11" max="11" width="16.85546875" bestFit="1" customWidth="1"/>
    <col min="12" max="13" width="8.140625" bestFit="1" customWidth="1"/>
    <col min="14" max="14" width="5.140625" bestFit="1" customWidth="1"/>
    <col min="15" max="15" width="8.140625" bestFit="1" customWidth="1"/>
    <col min="16" max="16" width="3.7109375" bestFit="1" customWidth="1"/>
    <col min="17" max="18" width="4.5703125" bestFit="1" customWidth="1"/>
    <col min="19" max="19" width="4.42578125" bestFit="1" customWidth="1"/>
    <col min="20" max="21" width="4.85546875" bestFit="1" customWidth="1"/>
    <col min="22" max="22" width="11.28515625" bestFit="1" customWidth="1"/>
    <col min="23" max="97" width="17.28515625" bestFit="1" customWidth="1"/>
    <col min="98" max="98" width="11.28515625" bestFit="1" customWidth="1"/>
  </cols>
  <sheetData>
    <row r="1" spans="1:13" ht="15.75" customHeight="1" x14ac:dyDescent="0.25">
      <c r="A1" s="59" t="s">
        <v>427</v>
      </c>
      <c r="B1" s="59"/>
      <c r="C1" s="59"/>
      <c r="D1" s="59"/>
      <c r="E1" s="59"/>
      <c r="F1" s="59"/>
      <c r="G1" s="59"/>
      <c r="H1" s="59"/>
    </row>
    <row r="3" spans="1:13" ht="15" customHeight="1" x14ac:dyDescent="0.25">
      <c r="A3" s="60" t="s">
        <v>428</v>
      </c>
      <c r="B3" s="60"/>
      <c r="C3" s="60"/>
      <c r="D3" s="60"/>
      <c r="E3" s="60"/>
      <c r="F3" s="60"/>
      <c r="G3" s="60"/>
      <c r="H3" s="60"/>
    </row>
    <row r="5" spans="1:13" ht="15.75" customHeight="1" x14ac:dyDescent="0.25">
      <c r="A5" s="5" t="s">
        <v>429</v>
      </c>
      <c r="I5" s="46" t="s">
        <v>517</v>
      </c>
      <c r="J5" s="46" t="s">
        <v>520</v>
      </c>
    </row>
    <row r="6" spans="1:13" ht="15" customHeight="1" x14ac:dyDescent="0.25">
      <c r="A6" s="62" t="s">
        <v>430</v>
      </c>
      <c r="B6" s="62"/>
      <c r="C6" s="62"/>
      <c r="D6" s="62"/>
      <c r="E6" s="62"/>
      <c r="F6" s="62"/>
      <c r="G6" s="62"/>
      <c r="H6" s="62"/>
      <c r="I6" s="46" t="s">
        <v>515</v>
      </c>
      <c r="J6" t="s">
        <v>69</v>
      </c>
      <c r="K6" t="s">
        <v>110</v>
      </c>
      <c r="L6" t="s">
        <v>59</v>
      </c>
      <c r="M6" t="s">
        <v>516</v>
      </c>
    </row>
    <row r="7" spans="1:13" ht="15" customHeight="1" x14ac:dyDescent="0.25">
      <c r="A7" s="62" t="s">
        <v>431</v>
      </c>
      <c r="B7" s="62"/>
      <c r="C7" s="62"/>
      <c r="D7" s="62"/>
      <c r="E7" s="62"/>
      <c r="F7" s="62"/>
      <c r="G7" s="62"/>
      <c r="H7" s="62"/>
      <c r="I7" s="47" t="s">
        <v>67</v>
      </c>
      <c r="J7">
        <v>10199.694000000001</v>
      </c>
      <c r="K7">
        <v>7033.7565000000004</v>
      </c>
      <c r="L7">
        <v>704.21</v>
      </c>
      <c r="M7">
        <v>17937.660500000002</v>
      </c>
    </row>
    <row r="8" spans="1:13" ht="15" customHeight="1" x14ac:dyDescent="0.25">
      <c r="A8" s="62" t="s">
        <v>432</v>
      </c>
      <c r="B8" s="62"/>
      <c r="C8" s="62"/>
      <c r="D8" s="62"/>
      <c r="E8" s="62"/>
      <c r="F8" s="62"/>
      <c r="G8" s="62"/>
      <c r="H8" s="62"/>
      <c r="I8" s="47" t="s">
        <v>57</v>
      </c>
      <c r="J8">
        <v>7355.6770000000006</v>
      </c>
      <c r="K8">
        <v>744.91150000000005</v>
      </c>
      <c r="L8">
        <v>352.41499999999996</v>
      </c>
      <c r="M8">
        <v>8453.0035000000007</v>
      </c>
    </row>
    <row r="9" spans="1:13" ht="15" customHeight="1" x14ac:dyDescent="0.25">
      <c r="A9" s="52"/>
      <c r="B9" s="52"/>
      <c r="C9" s="52"/>
      <c r="D9" s="52"/>
      <c r="E9" s="52"/>
      <c r="F9" s="52"/>
      <c r="G9" s="52"/>
      <c r="H9" s="52"/>
      <c r="I9" s="47" t="s">
        <v>89</v>
      </c>
      <c r="J9">
        <v>14831.728499999999</v>
      </c>
      <c r="K9">
        <v>3599.88</v>
      </c>
      <c r="L9">
        <v>177.15749999999997</v>
      </c>
      <c r="M9">
        <v>18608.766</v>
      </c>
    </row>
    <row r="10" spans="1:13" ht="15.75" customHeight="1" x14ac:dyDescent="0.25">
      <c r="A10" s="59" t="s">
        <v>433</v>
      </c>
      <c r="B10" s="59"/>
      <c r="C10" s="59"/>
      <c r="D10" s="59"/>
      <c r="E10" s="59"/>
      <c r="F10" s="59"/>
      <c r="G10" s="59"/>
      <c r="H10" s="59"/>
      <c r="I10" s="47" t="s">
        <v>77</v>
      </c>
      <c r="J10">
        <v>7294.6679999999997</v>
      </c>
      <c r="K10">
        <v>8379.179500000002</v>
      </c>
      <c r="L10">
        <v>445.80150000000003</v>
      </c>
      <c r="M10">
        <v>16119.649000000001</v>
      </c>
    </row>
    <row r="11" spans="1:13" ht="15" customHeight="1" x14ac:dyDescent="0.25">
      <c r="A11" s="52"/>
      <c r="B11" s="52"/>
      <c r="C11" s="52"/>
      <c r="D11" s="52"/>
      <c r="E11" s="52"/>
      <c r="F11" s="52"/>
      <c r="G11" s="52"/>
      <c r="H11" s="52"/>
      <c r="I11" s="47" t="s">
        <v>118</v>
      </c>
      <c r="J11">
        <v>5559.8819999999996</v>
      </c>
      <c r="K11">
        <v>2490.8519999999999</v>
      </c>
      <c r="L11">
        <v>56.532500000000006</v>
      </c>
      <c r="M11">
        <v>8107.2664999999997</v>
      </c>
    </row>
    <row r="12" spans="1:13" ht="15" customHeight="1" x14ac:dyDescent="0.25">
      <c r="A12" s="62" t="s">
        <v>434</v>
      </c>
      <c r="B12" s="62"/>
      <c r="C12" s="62"/>
      <c r="D12" s="62"/>
      <c r="E12" s="62"/>
      <c r="F12" s="62"/>
      <c r="G12" s="62"/>
      <c r="H12" s="62"/>
      <c r="I12" s="47" t="s">
        <v>516</v>
      </c>
      <c r="J12">
        <v>45241.6495</v>
      </c>
      <c r="K12">
        <v>22248.5795</v>
      </c>
      <c r="L12">
        <v>1736.1165000000001</v>
      </c>
      <c r="M12">
        <v>69226.34550000001</v>
      </c>
    </row>
    <row r="13" spans="1:13" ht="15" customHeight="1" x14ac:dyDescent="0.25">
      <c r="A13" s="52" t="s">
        <v>435</v>
      </c>
      <c r="B13" s="52"/>
      <c r="C13" s="52"/>
      <c r="D13" s="52"/>
      <c r="E13" s="52"/>
      <c r="F13" s="52"/>
      <c r="G13" s="52"/>
      <c r="H13" s="52"/>
    </row>
    <row r="14" spans="1:13" ht="15" customHeight="1" x14ac:dyDescent="0.25">
      <c r="A14" s="52" t="s">
        <v>436</v>
      </c>
      <c r="B14" s="52"/>
      <c r="C14" s="52"/>
      <c r="D14" s="52"/>
      <c r="E14" s="52"/>
      <c r="F14" s="52"/>
      <c r="G14" s="52"/>
      <c r="H14" s="52"/>
    </row>
    <row r="15" spans="1:13" ht="15" customHeight="1" x14ac:dyDescent="0.25">
      <c r="A15" s="52" t="s">
        <v>437</v>
      </c>
      <c r="B15" s="52"/>
      <c r="C15" s="52"/>
      <c r="D15" s="52"/>
      <c r="E15" s="52"/>
      <c r="F15" s="52"/>
      <c r="G15" s="52"/>
      <c r="H15" s="52"/>
      <c r="I15" s="46" t="s">
        <v>515</v>
      </c>
      <c r="J15" t="s">
        <v>517</v>
      </c>
    </row>
    <row r="16" spans="1:13" ht="15" customHeight="1" x14ac:dyDescent="0.25">
      <c r="A16" s="52"/>
      <c r="B16" s="52"/>
      <c r="C16" s="52"/>
      <c r="D16" s="52"/>
      <c r="E16" s="52"/>
      <c r="F16" s="52"/>
      <c r="G16" s="52"/>
      <c r="H16" s="52"/>
      <c r="I16" s="47" t="s">
        <v>69</v>
      </c>
      <c r="J16" s="66">
        <v>45241.649499999992</v>
      </c>
    </row>
    <row r="17" spans="1:15" ht="15" customHeight="1" x14ac:dyDescent="0.25">
      <c r="A17" s="62" t="s">
        <v>438</v>
      </c>
      <c r="B17" s="62"/>
      <c r="C17" s="62"/>
      <c r="D17" s="62"/>
      <c r="E17" s="62"/>
      <c r="F17" s="62"/>
      <c r="G17" s="62"/>
      <c r="H17" s="62"/>
      <c r="I17" s="47" t="s">
        <v>110</v>
      </c>
      <c r="J17" s="66">
        <v>22248.5795</v>
      </c>
    </row>
    <row r="18" spans="1:15" ht="15" customHeight="1" x14ac:dyDescent="0.25">
      <c r="A18" s="52" t="s">
        <v>439</v>
      </c>
      <c r="B18" s="52"/>
      <c r="C18" s="52"/>
      <c r="D18" s="52"/>
      <c r="E18" s="52"/>
      <c r="F18" s="52"/>
      <c r="G18" s="52"/>
      <c r="H18" s="52"/>
      <c r="I18" s="47" t="s">
        <v>59</v>
      </c>
      <c r="J18" s="66">
        <v>1736.1165000000001</v>
      </c>
    </row>
    <row r="19" spans="1:15" ht="15" customHeight="1" x14ac:dyDescent="0.25">
      <c r="A19" s="52" t="s">
        <v>440</v>
      </c>
      <c r="B19" s="52"/>
      <c r="C19" s="52"/>
      <c r="D19" s="52"/>
      <c r="E19" s="52"/>
      <c r="F19" s="52"/>
      <c r="G19" s="52"/>
      <c r="H19" s="52"/>
      <c r="I19" s="47" t="s">
        <v>516</v>
      </c>
      <c r="J19" s="66">
        <v>69226.345499999908</v>
      </c>
    </row>
    <row r="20" spans="1:15" ht="15" customHeight="1" x14ac:dyDescent="0.25">
      <c r="A20" s="52" t="s">
        <v>436</v>
      </c>
      <c r="B20" s="52"/>
      <c r="C20" s="52"/>
      <c r="D20" s="52"/>
      <c r="E20" s="52"/>
      <c r="F20" s="52"/>
      <c r="G20" s="52"/>
      <c r="H20" s="52"/>
    </row>
    <row r="21" spans="1:15" ht="15" customHeight="1" x14ac:dyDescent="0.25">
      <c r="A21" s="52"/>
      <c r="B21" s="52"/>
      <c r="C21" s="52"/>
      <c r="D21" s="52"/>
      <c r="E21" s="52"/>
      <c r="F21" s="52"/>
      <c r="G21" s="52"/>
      <c r="H21" s="52"/>
    </row>
    <row r="22" spans="1:15" ht="15" customHeight="1" x14ac:dyDescent="0.25">
      <c r="A22" s="62" t="s">
        <v>441</v>
      </c>
      <c r="B22" s="62"/>
      <c r="C22" s="62"/>
      <c r="D22" s="62"/>
      <c r="E22" s="62"/>
      <c r="F22" s="62"/>
      <c r="G22" s="62"/>
      <c r="H22" s="62"/>
    </row>
    <row r="23" spans="1:15" ht="15" customHeight="1" x14ac:dyDescent="0.25">
      <c r="A23" s="52" t="s">
        <v>442</v>
      </c>
      <c r="B23" s="52"/>
      <c r="C23" s="52"/>
      <c r="D23" s="52"/>
      <c r="E23" s="52"/>
      <c r="F23" s="52"/>
      <c r="G23" s="52"/>
      <c r="H23" s="52"/>
    </row>
    <row r="24" spans="1:15" ht="15" customHeight="1" x14ac:dyDescent="0.25">
      <c r="A24" s="52" t="s">
        <v>443</v>
      </c>
      <c r="B24" s="52"/>
      <c r="C24" s="52"/>
      <c r="D24" s="52"/>
      <c r="E24" s="52"/>
      <c r="F24" s="52"/>
      <c r="G24" s="52"/>
      <c r="H24" s="52"/>
    </row>
    <row r="25" spans="1:15" ht="15" customHeight="1" x14ac:dyDescent="0.25">
      <c r="A25" s="52" t="s">
        <v>444</v>
      </c>
      <c r="B25" s="52"/>
      <c r="C25" s="52"/>
      <c r="D25" s="52"/>
      <c r="E25" s="52"/>
      <c r="F25" s="52"/>
      <c r="G25" s="52"/>
      <c r="H25" s="52"/>
    </row>
    <row r="26" spans="1:15" ht="15" customHeight="1" x14ac:dyDescent="0.25">
      <c r="A26" s="52" t="s">
        <v>445</v>
      </c>
      <c r="B26" s="52"/>
      <c r="C26" s="52"/>
      <c r="D26" s="52"/>
      <c r="E26" s="52"/>
      <c r="F26" s="52"/>
      <c r="G26" s="52"/>
      <c r="H26" s="52"/>
      <c r="K26" s="46" t="s">
        <v>517</v>
      </c>
      <c r="L26" s="46" t="s">
        <v>520</v>
      </c>
    </row>
    <row r="27" spans="1:15" ht="15" customHeight="1" x14ac:dyDescent="0.25">
      <c r="A27" s="52"/>
      <c r="B27" s="52"/>
      <c r="C27" s="52"/>
      <c r="D27" s="52"/>
      <c r="E27" s="52"/>
      <c r="F27" s="52"/>
      <c r="G27" s="52"/>
      <c r="H27" s="52"/>
      <c r="K27" s="46" t="s">
        <v>515</v>
      </c>
      <c r="L27" t="s">
        <v>69</v>
      </c>
      <c r="M27" t="s">
        <v>110</v>
      </c>
      <c r="N27" t="s">
        <v>59</v>
      </c>
      <c r="O27" t="s">
        <v>516</v>
      </c>
    </row>
    <row r="28" spans="1:15" ht="15" customHeight="1" x14ac:dyDescent="0.25">
      <c r="A28" s="62" t="s">
        <v>446</v>
      </c>
      <c r="B28" s="62"/>
      <c r="C28" s="62"/>
      <c r="D28" s="62"/>
      <c r="E28" s="62"/>
      <c r="F28" s="62"/>
      <c r="G28" s="62"/>
      <c r="H28" s="62"/>
      <c r="K28" s="47" t="s">
        <v>67</v>
      </c>
      <c r="L28" s="66">
        <v>10199.694</v>
      </c>
      <c r="M28" s="66">
        <v>7033.7564999999995</v>
      </c>
      <c r="N28" s="66">
        <v>704.21</v>
      </c>
      <c r="O28" s="66">
        <v>17937.660500000016</v>
      </c>
    </row>
    <row r="29" spans="1:15" ht="15" customHeight="1" x14ac:dyDescent="0.25">
      <c r="A29" s="52" t="s">
        <v>447</v>
      </c>
      <c r="B29" s="52"/>
      <c r="C29" s="52"/>
      <c r="D29" s="52"/>
      <c r="E29" s="52"/>
      <c r="F29" s="52"/>
      <c r="G29" s="52"/>
      <c r="H29" s="52"/>
      <c r="K29" s="47" t="s">
        <v>57</v>
      </c>
      <c r="L29" s="66">
        <v>7355.6769999999997</v>
      </c>
      <c r="M29" s="66">
        <v>744.91150000000005</v>
      </c>
      <c r="N29" s="66">
        <v>352.41499999999996</v>
      </c>
      <c r="O29" s="66">
        <v>8453.0035000000007</v>
      </c>
    </row>
    <row r="30" spans="1:15" ht="15" customHeight="1" x14ac:dyDescent="0.25">
      <c r="A30" s="52" t="s">
        <v>448</v>
      </c>
      <c r="B30" s="52"/>
      <c r="C30" s="52"/>
      <c r="D30" s="52"/>
      <c r="E30" s="52"/>
      <c r="F30" s="52"/>
      <c r="G30" s="52"/>
      <c r="H30" s="52"/>
      <c r="K30" s="47" t="s">
        <v>89</v>
      </c>
      <c r="L30" s="66">
        <v>14831.728499999999</v>
      </c>
      <c r="M30" s="66">
        <v>3599.88</v>
      </c>
      <c r="N30" s="66">
        <v>177.15749999999997</v>
      </c>
      <c r="O30" s="66">
        <v>18608.766000000003</v>
      </c>
    </row>
    <row r="31" spans="1:15" ht="15" customHeight="1" x14ac:dyDescent="0.25">
      <c r="A31" s="52" t="s">
        <v>436</v>
      </c>
      <c r="B31" s="52"/>
      <c r="C31" s="52"/>
      <c r="D31" s="52"/>
      <c r="E31" s="52"/>
      <c r="F31" s="52"/>
      <c r="G31" s="52"/>
      <c r="H31" s="52"/>
      <c r="K31" s="47" t="s">
        <v>77</v>
      </c>
      <c r="L31" s="66">
        <v>7294.6679999999997</v>
      </c>
      <c r="M31" s="66">
        <v>8379.1794999999984</v>
      </c>
      <c r="N31" s="66">
        <v>445.80150000000003</v>
      </c>
      <c r="O31" s="66">
        <v>16119.648999999999</v>
      </c>
    </row>
    <row r="32" spans="1:15" ht="15" customHeight="1" x14ac:dyDescent="0.25">
      <c r="A32" s="52"/>
      <c r="B32" s="52"/>
      <c r="C32" s="52"/>
      <c r="D32" s="52"/>
      <c r="E32" s="52"/>
      <c r="F32" s="52"/>
      <c r="G32" s="52"/>
      <c r="H32" s="52"/>
      <c r="K32" s="47" t="s">
        <v>118</v>
      </c>
      <c r="L32" s="66">
        <v>5559.8820000000005</v>
      </c>
      <c r="M32" s="66">
        <v>2490.8520000000003</v>
      </c>
      <c r="N32" s="66">
        <v>56.532500000000006</v>
      </c>
      <c r="O32" s="66">
        <v>8107.2664999999997</v>
      </c>
    </row>
    <row r="33" spans="1:15" ht="15.75" customHeight="1" x14ac:dyDescent="0.25">
      <c r="A33" s="59" t="s">
        <v>449</v>
      </c>
      <c r="B33" s="59"/>
      <c r="C33" s="59"/>
      <c r="D33" s="59"/>
      <c r="E33" s="59"/>
      <c r="F33" s="59"/>
      <c r="G33" s="59"/>
      <c r="H33" s="59"/>
      <c r="K33" s="47" t="s">
        <v>516</v>
      </c>
      <c r="L33" s="66">
        <v>45241.649499999992</v>
      </c>
      <c r="M33" s="66">
        <v>22248.5795</v>
      </c>
      <c r="N33" s="66">
        <v>1736.1165000000001</v>
      </c>
      <c r="O33" s="66">
        <v>69226.345499999908</v>
      </c>
    </row>
    <row r="34" spans="1:15" ht="15" customHeight="1" x14ac:dyDescent="0.25">
      <c r="A34" s="52" t="s">
        <v>450</v>
      </c>
      <c r="B34" s="52"/>
      <c r="C34" s="52"/>
      <c r="D34" s="52"/>
      <c r="E34" s="52"/>
      <c r="F34" s="52"/>
      <c r="G34" s="52"/>
      <c r="H34" s="52"/>
    </row>
    <row r="35" spans="1:15" ht="15" customHeight="1" x14ac:dyDescent="0.25">
      <c r="A35" s="52" t="s">
        <v>451</v>
      </c>
      <c r="B35" s="52"/>
      <c r="C35" s="52"/>
      <c r="D35" s="52"/>
      <c r="E35" s="52"/>
      <c r="F35" s="52"/>
      <c r="G35" s="52"/>
      <c r="H35" s="52"/>
    </row>
    <row r="36" spans="1:15" ht="15" customHeight="1" x14ac:dyDescent="0.25">
      <c r="A36" s="52" t="s">
        <v>452</v>
      </c>
      <c r="B36" s="52"/>
      <c r="C36" s="52"/>
      <c r="D36" s="52"/>
      <c r="E36" s="52"/>
      <c r="F36" s="52"/>
      <c r="G36" s="52"/>
      <c r="H36" s="52"/>
    </row>
    <row r="37" spans="1:15" ht="15" customHeight="1" x14ac:dyDescent="0.25">
      <c r="A37" s="52" t="s">
        <v>453</v>
      </c>
      <c r="B37" s="52"/>
      <c r="C37" s="52"/>
      <c r="D37" s="52"/>
      <c r="E37" s="52"/>
      <c r="F37" s="52"/>
      <c r="G37" s="52"/>
      <c r="H37" s="52"/>
      <c r="I37" s="46" t="s">
        <v>515</v>
      </c>
      <c r="J37" t="s">
        <v>517</v>
      </c>
      <c r="K37" t="s">
        <v>602</v>
      </c>
    </row>
    <row r="38" spans="1:15" x14ac:dyDescent="0.25">
      <c r="I38" s="47" t="s">
        <v>61</v>
      </c>
      <c r="J38" s="66">
        <v>22987.416000000008</v>
      </c>
      <c r="K38" s="66">
        <v>29</v>
      </c>
    </row>
    <row r="39" spans="1:15" x14ac:dyDescent="0.25">
      <c r="I39" s="47" t="s">
        <v>71</v>
      </c>
      <c r="J39" s="66">
        <v>18996.035499999998</v>
      </c>
      <c r="K39" s="66">
        <v>24</v>
      </c>
    </row>
    <row r="40" spans="1:15" ht="15.75" customHeight="1" x14ac:dyDescent="0.25">
      <c r="A40" s="5" t="s">
        <v>454</v>
      </c>
      <c r="I40" s="47" t="s">
        <v>79</v>
      </c>
      <c r="J40" s="66">
        <v>18968.448500000006</v>
      </c>
      <c r="K40" s="66">
        <v>22</v>
      </c>
    </row>
    <row r="41" spans="1:15" ht="15" customHeight="1" x14ac:dyDescent="0.25">
      <c r="A41" s="4" t="s">
        <v>43</v>
      </c>
      <c r="B41" s="4" t="s">
        <v>455</v>
      </c>
      <c r="I41" s="47" t="s">
        <v>105</v>
      </c>
      <c r="J41" s="66">
        <v>8274.4454999999962</v>
      </c>
      <c r="K41" s="66">
        <v>27</v>
      </c>
    </row>
    <row r="42" spans="1:15" ht="15" customHeight="1" x14ac:dyDescent="0.25">
      <c r="A42" s="20" t="s">
        <v>69</v>
      </c>
      <c r="B42" s="23">
        <f>SUMIF('Sales Data'!H4:H105,A42,'Sales Data'!N4:N105)</f>
        <v>45241.649499999992</v>
      </c>
      <c r="I42" s="47" t="s">
        <v>516</v>
      </c>
      <c r="J42" s="66">
        <v>69226.345499999908</v>
      </c>
      <c r="K42" s="66">
        <v>102</v>
      </c>
    </row>
    <row r="43" spans="1:15" ht="15" customHeight="1" x14ac:dyDescent="0.25">
      <c r="A43" s="20" t="s">
        <v>110</v>
      </c>
      <c r="B43" s="23">
        <f>SUMIF('Sales Data'!H4:H105,A43,'Sales Data'!N4:N105)</f>
        <v>22248.5795</v>
      </c>
    </row>
    <row r="44" spans="1:15" ht="15" customHeight="1" x14ac:dyDescent="0.25">
      <c r="A44" s="20" t="s">
        <v>59</v>
      </c>
      <c r="B44" s="23">
        <f>SUMIF('Sales Data'!H4:H105,A44,'Sales Data'!N4:N105)</f>
        <v>1736.1165000000001</v>
      </c>
    </row>
    <row r="45" spans="1:15" x14ac:dyDescent="0.25">
      <c r="I45" s="46" t="s">
        <v>515</v>
      </c>
      <c r="J45" t="s">
        <v>517</v>
      </c>
    </row>
    <row r="46" spans="1:15" x14ac:dyDescent="0.25">
      <c r="I46" s="68">
        <v>45659</v>
      </c>
      <c r="J46" s="66">
        <v>239.95999999999998</v>
      </c>
    </row>
    <row r="47" spans="1:15" x14ac:dyDescent="0.25">
      <c r="I47" s="68">
        <v>45665</v>
      </c>
      <c r="J47" s="66">
        <v>199.47149999999996</v>
      </c>
    </row>
    <row r="48" spans="1:15" x14ac:dyDescent="0.25">
      <c r="I48" s="68">
        <v>45674</v>
      </c>
      <c r="J48" s="66">
        <v>594.98300000000006</v>
      </c>
    </row>
    <row r="49" spans="9:10" x14ac:dyDescent="0.25">
      <c r="I49" s="68">
        <v>45679</v>
      </c>
      <c r="J49" s="66">
        <v>1049.97</v>
      </c>
    </row>
    <row r="50" spans="9:10" x14ac:dyDescent="0.25">
      <c r="I50" s="68">
        <v>45681</v>
      </c>
      <c r="J50" s="66">
        <v>350.97300000000001</v>
      </c>
    </row>
    <row r="51" spans="9:10" x14ac:dyDescent="0.25">
      <c r="I51" s="68">
        <v>45690</v>
      </c>
      <c r="J51" s="66">
        <v>12.99</v>
      </c>
    </row>
    <row r="52" spans="9:10" x14ac:dyDescent="0.25">
      <c r="I52" s="68">
        <v>45695</v>
      </c>
      <c r="J52" s="66">
        <v>1749.95</v>
      </c>
    </row>
    <row r="53" spans="9:10" x14ac:dyDescent="0.25">
      <c r="I53" s="68">
        <v>45700</v>
      </c>
      <c r="J53" s="66">
        <v>259.98</v>
      </c>
    </row>
    <row r="54" spans="9:10" x14ac:dyDescent="0.25">
      <c r="I54" s="68">
        <v>45701</v>
      </c>
      <c r="J54" s="66">
        <v>320.94299999999998</v>
      </c>
    </row>
    <row r="55" spans="9:10" x14ac:dyDescent="0.25">
      <c r="I55" s="68">
        <v>45703</v>
      </c>
      <c r="J55" s="66">
        <v>2499.9499999999998</v>
      </c>
    </row>
    <row r="56" spans="9:10" x14ac:dyDescent="0.25">
      <c r="I56" s="68">
        <v>45704</v>
      </c>
      <c r="J56" s="66">
        <v>4499.95</v>
      </c>
    </row>
    <row r="57" spans="9:10" x14ac:dyDescent="0.25">
      <c r="I57" s="68">
        <v>45707</v>
      </c>
      <c r="J57" s="66">
        <v>5592.8874999999998</v>
      </c>
    </row>
    <row r="58" spans="9:10" x14ac:dyDescent="0.25">
      <c r="I58" s="68">
        <v>45709</v>
      </c>
      <c r="J58" s="66">
        <v>499.99</v>
      </c>
    </row>
    <row r="59" spans="9:10" x14ac:dyDescent="0.25">
      <c r="I59" s="68">
        <v>45711</v>
      </c>
      <c r="J59" s="66">
        <v>25.98</v>
      </c>
    </row>
    <row r="60" spans="9:10" x14ac:dyDescent="0.25">
      <c r="I60" s="68">
        <v>45714</v>
      </c>
      <c r="J60" s="66">
        <v>161.97300000000001</v>
      </c>
    </row>
    <row r="61" spans="9:10" x14ac:dyDescent="0.25">
      <c r="I61" s="68">
        <v>45716</v>
      </c>
      <c r="J61" s="66">
        <v>58.454999999999998</v>
      </c>
    </row>
    <row r="62" spans="9:10" x14ac:dyDescent="0.25">
      <c r="I62" s="68">
        <v>45718</v>
      </c>
      <c r="J62" s="66">
        <v>79.989999999999995</v>
      </c>
    </row>
    <row r="63" spans="9:10" x14ac:dyDescent="0.25">
      <c r="I63" s="68">
        <v>45723</v>
      </c>
      <c r="J63" s="66">
        <v>1699.9660000000001</v>
      </c>
    </row>
    <row r="64" spans="9:10" x14ac:dyDescent="0.25">
      <c r="I64" s="68">
        <v>45724</v>
      </c>
      <c r="J64" s="66">
        <v>44.991</v>
      </c>
    </row>
    <row r="65" spans="9:10" x14ac:dyDescent="0.25">
      <c r="I65" s="68">
        <v>45725</v>
      </c>
      <c r="J65" s="66">
        <v>149.94999999999999</v>
      </c>
    </row>
    <row r="66" spans="9:10" x14ac:dyDescent="0.25">
      <c r="I66" s="68">
        <v>45730</v>
      </c>
      <c r="J66" s="66">
        <v>2159.9760000000001</v>
      </c>
    </row>
    <row r="67" spans="9:10" x14ac:dyDescent="0.25">
      <c r="I67" s="68">
        <v>45734</v>
      </c>
      <c r="J67" s="66">
        <v>22.491</v>
      </c>
    </row>
    <row r="68" spans="9:10" x14ac:dyDescent="0.25">
      <c r="I68" s="68">
        <v>45735</v>
      </c>
      <c r="J68" s="66">
        <v>71.991</v>
      </c>
    </row>
    <row r="69" spans="9:10" x14ac:dyDescent="0.25">
      <c r="I69" s="68">
        <v>45737</v>
      </c>
      <c r="J69" s="66">
        <v>179.964</v>
      </c>
    </row>
    <row r="70" spans="9:10" x14ac:dyDescent="0.25">
      <c r="I70" s="68">
        <v>45740</v>
      </c>
      <c r="J70" s="66">
        <v>143.964</v>
      </c>
    </row>
    <row r="71" spans="9:10" x14ac:dyDescent="0.25">
      <c r="I71" s="68">
        <v>45742</v>
      </c>
      <c r="J71" s="66">
        <v>28.768000000000001</v>
      </c>
    </row>
    <row r="72" spans="9:10" x14ac:dyDescent="0.25">
      <c r="I72" s="68">
        <v>45750</v>
      </c>
      <c r="J72" s="66">
        <v>1349.9549999999999</v>
      </c>
    </row>
    <row r="73" spans="9:10" x14ac:dyDescent="0.25">
      <c r="I73" s="68">
        <v>45753</v>
      </c>
      <c r="J73" s="66">
        <v>118.70249999999999</v>
      </c>
    </row>
    <row r="74" spans="9:10" x14ac:dyDescent="0.25">
      <c r="I74" s="68">
        <v>45757</v>
      </c>
      <c r="J74" s="66">
        <v>1487.4575</v>
      </c>
    </row>
    <row r="75" spans="9:10" x14ac:dyDescent="0.25">
      <c r="I75" s="68">
        <v>45762</v>
      </c>
      <c r="J75" s="66">
        <v>1199.96</v>
      </c>
    </row>
    <row r="76" spans="9:10" x14ac:dyDescent="0.25">
      <c r="I76" s="68">
        <v>45770</v>
      </c>
      <c r="J76" s="66">
        <v>1009.919</v>
      </c>
    </row>
    <row r="77" spans="9:10" x14ac:dyDescent="0.25">
      <c r="I77" s="68">
        <v>45773</v>
      </c>
      <c r="J77" s="66">
        <v>349.99</v>
      </c>
    </row>
    <row r="78" spans="9:10" x14ac:dyDescent="0.25">
      <c r="I78" s="68">
        <v>45774</v>
      </c>
      <c r="J78" s="66">
        <v>760.44150000000013</v>
      </c>
    </row>
    <row r="79" spans="9:10" x14ac:dyDescent="0.25">
      <c r="I79" s="68">
        <v>45782</v>
      </c>
      <c r="J79" s="66">
        <v>1574.9549999999999</v>
      </c>
    </row>
    <row r="80" spans="9:10" x14ac:dyDescent="0.25">
      <c r="I80" s="68">
        <v>45785</v>
      </c>
      <c r="J80" s="66">
        <v>999.98</v>
      </c>
    </row>
    <row r="81" spans="9:10" x14ac:dyDescent="0.25">
      <c r="I81" s="68">
        <v>45788</v>
      </c>
      <c r="J81" s="66">
        <v>299.99</v>
      </c>
    </row>
    <row r="82" spans="9:10" x14ac:dyDescent="0.25">
      <c r="I82" s="68">
        <v>45790</v>
      </c>
      <c r="J82" s="66">
        <v>142.47149999999999</v>
      </c>
    </row>
    <row r="83" spans="9:10" x14ac:dyDescent="0.25">
      <c r="I83" s="68">
        <v>45802</v>
      </c>
      <c r="J83" s="66">
        <v>12.99</v>
      </c>
    </row>
    <row r="84" spans="9:10" x14ac:dyDescent="0.25">
      <c r="I84" s="68">
        <v>45811</v>
      </c>
      <c r="J84" s="66">
        <v>389.97</v>
      </c>
    </row>
    <row r="85" spans="9:10" x14ac:dyDescent="0.25">
      <c r="I85" s="68">
        <v>45814</v>
      </c>
      <c r="J85" s="66">
        <v>47.992000000000004</v>
      </c>
    </row>
    <row r="86" spans="9:10" x14ac:dyDescent="0.25">
      <c r="I86" s="68">
        <v>45822</v>
      </c>
      <c r="J86" s="66">
        <v>424.99150000000003</v>
      </c>
    </row>
    <row r="87" spans="9:10" x14ac:dyDescent="0.25">
      <c r="I87" s="68">
        <v>45829</v>
      </c>
      <c r="J87" s="66">
        <v>996.93100000000004</v>
      </c>
    </row>
    <row r="88" spans="9:10" x14ac:dyDescent="0.25">
      <c r="I88" s="68">
        <v>45833</v>
      </c>
      <c r="J88" s="66">
        <v>637.45749999999998</v>
      </c>
    </row>
    <row r="89" spans="9:10" x14ac:dyDescent="0.25">
      <c r="I89" s="68">
        <v>45841</v>
      </c>
      <c r="J89" s="66">
        <v>64.95</v>
      </c>
    </row>
    <row r="90" spans="9:10" x14ac:dyDescent="0.25">
      <c r="I90" s="68">
        <v>45844</v>
      </c>
      <c r="J90" s="66">
        <v>127.98399999999999</v>
      </c>
    </row>
    <row r="91" spans="9:10" x14ac:dyDescent="0.25">
      <c r="I91" s="68">
        <v>45846</v>
      </c>
      <c r="J91" s="66">
        <v>135.96800000000002</v>
      </c>
    </row>
    <row r="92" spans="9:10" x14ac:dyDescent="0.25">
      <c r="I92" s="68">
        <v>45847</v>
      </c>
      <c r="J92" s="66">
        <v>370.47150000000005</v>
      </c>
    </row>
    <row r="93" spans="9:10" x14ac:dyDescent="0.25">
      <c r="I93" s="68">
        <v>45850</v>
      </c>
      <c r="J93" s="66">
        <v>1662.4525000000001</v>
      </c>
    </row>
    <row r="94" spans="9:10" x14ac:dyDescent="0.25">
      <c r="I94" s="68">
        <v>45854</v>
      </c>
      <c r="J94" s="66">
        <v>2319.9360000000001</v>
      </c>
    </row>
    <row r="95" spans="9:10" x14ac:dyDescent="0.25">
      <c r="I95" s="68">
        <v>45858</v>
      </c>
      <c r="J95" s="66">
        <v>539.96400000000006</v>
      </c>
    </row>
    <row r="96" spans="9:10" x14ac:dyDescent="0.25">
      <c r="I96" s="68">
        <v>45860</v>
      </c>
      <c r="J96" s="66">
        <v>46.764000000000003</v>
      </c>
    </row>
    <row r="97" spans="9:10" x14ac:dyDescent="0.25">
      <c r="I97" s="68">
        <v>45862</v>
      </c>
      <c r="J97" s="66">
        <v>599.98</v>
      </c>
    </row>
    <row r="98" spans="9:10" x14ac:dyDescent="0.25">
      <c r="I98" s="68">
        <v>45870</v>
      </c>
      <c r="J98" s="66">
        <v>1699.9660000000001</v>
      </c>
    </row>
    <row r="99" spans="9:10" x14ac:dyDescent="0.25">
      <c r="I99" s="68">
        <v>45874</v>
      </c>
      <c r="J99" s="66">
        <v>112.45499999999998</v>
      </c>
    </row>
    <row r="100" spans="9:10" x14ac:dyDescent="0.25">
      <c r="I100" s="68">
        <v>45876</v>
      </c>
      <c r="J100" s="66">
        <v>899.97</v>
      </c>
    </row>
    <row r="101" spans="9:10" x14ac:dyDescent="0.25">
      <c r="I101" s="68">
        <v>45883</v>
      </c>
      <c r="J101" s="66">
        <v>3419.962</v>
      </c>
    </row>
    <row r="102" spans="9:10" x14ac:dyDescent="0.25">
      <c r="I102" s="68">
        <v>45889</v>
      </c>
      <c r="J102" s="66">
        <v>53.991</v>
      </c>
    </row>
    <row r="103" spans="9:10" x14ac:dyDescent="0.25">
      <c r="I103" s="68">
        <v>45890</v>
      </c>
      <c r="J103" s="66">
        <v>1399.96</v>
      </c>
    </row>
    <row r="104" spans="9:10" x14ac:dyDescent="0.25">
      <c r="I104" s="68">
        <v>45895</v>
      </c>
      <c r="J104" s="66">
        <v>220.983</v>
      </c>
    </row>
    <row r="105" spans="9:10" x14ac:dyDescent="0.25">
      <c r="I105" s="68">
        <v>45903</v>
      </c>
      <c r="J105" s="66">
        <v>62.990999999999993</v>
      </c>
    </row>
    <row r="106" spans="9:10" x14ac:dyDescent="0.25">
      <c r="I106" s="68">
        <v>45904</v>
      </c>
      <c r="J106" s="66">
        <v>116.99100000000001</v>
      </c>
    </row>
    <row r="107" spans="9:10" x14ac:dyDescent="0.25">
      <c r="I107" s="68">
        <v>45906</v>
      </c>
      <c r="J107" s="66">
        <v>379.95249999999999</v>
      </c>
    </row>
    <row r="108" spans="9:10" x14ac:dyDescent="0.25">
      <c r="I108" s="68">
        <v>45908</v>
      </c>
      <c r="J108" s="66">
        <v>319.95999999999998</v>
      </c>
    </row>
    <row r="109" spans="9:10" x14ac:dyDescent="0.25">
      <c r="I109" s="68">
        <v>45910</v>
      </c>
      <c r="J109" s="66">
        <v>37.021499999999996</v>
      </c>
    </row>
    <row r="110" spans="9:10" x14ac:dyDescent="0.25">
      <c r="I110" s="68">
        <v>45917</v>
      </c>
      <c r="J110" s="66">
        <v>1499.95</v>
      </c>
    </row>
    <row r="111" spans="9:10" x14ac:dyDescent="0.25">
      <c r="I111" s="68">
        <v>45921</v>
      </c>
      <c r="J111" s="66">
        <v>959.96800000000007</v>
      </c>
    </row>
    <row r="112" spans="9:10" x14ac:dyDescent="0.25">
      <c r="I112" s="68">
        <v>45925</v>
      </c>
      <c r="J112" s="66">
        <v>127.968</v>
      </c>
    </row>
    <row r="113" spans="9:10" x14ac:dyDescent="0.25">
      <c r="I113" s="68">
        <v>45940</v>
      </c>
      <c r="J113" s="66">
        <v>499.99</v>
      </c>
    </row>
    <row r="114" spans="9:10" x14ac:dyDescent="0.25">
      <c r="I114" s="68">
        <v>45945</v>
      </c>
      <c r="J114" s="66">
        <v>599.96</v>
      </c>
    </row>
    <row r="115" spans="9:10" x14ac:dyDescent="0.25">
      <c r="I115" s="68">
        <v>45946</v>
      </c>
      <c r="J115" s="66">
        <v>1399.96</v>
      </c>
    </row>
    <row r="116" spans="9:10" x14ac:dyDescent="0.25">
      <c r="I116" s="68">
        <v>45948</v>
      </c>
      <c r="J116" s="66">
        <v>4049.9549999999999</v>
      </c>
    </row>
    <row r="117" spans="9:10" x14ac:dyDescent="0.25">
      <c r="I117" s="68">
        <v>45950</v>
      </c>
      <c r="J117" s="66">
        <v>49.362000000000002</v>
      </c>
    </row>
    <row r="118" spans="9:10" x14ac:dyDescent="0.25">
      <c r="I118" s="68">
        <v>45952</v>
      </c>
      <c r="J118" s="66">
        <v>474.9905</v>
      </c>
    </row>
    <row r="119" spans="9:10" x14ac:dyDescent="0.25">
      <c r="I119" s="68">
        <v>45953</v>
      </c>
      <c r="J119" s="66">
        <v>1139.962</v>
      </c>
    </row>
    <row r="120" spans="9:10" x14ac:dyDescent="0.25">
      <c r="I120" s="68">
        <v>45957</v>
      </c>
      <c r="J120" s="66">
        <v>28.768000000000001</v>
      </c>
    </row>
    <row r="121" spans="9:10" x14ac:dyDescent="0.25">
      <c r="I121" s="68">
        <v>45963</v>
      </c>
      <c r="J121" s="66">
        <v>49.98</v>
      </c>
    </row>
    <row r="122" spans="9:10" x14ac:dyDescent="0.25">
      <c r="I122" s="68">
        <v>45965</v>
      </c>
      <c r="J122" s="66">
        <v>2699.9700000000003</v>
      </c>
    </row>
    <row r="123" spans="9:10" x14ac:dyDescent="0.25">
      <c r="I123" s="68">
        <v>45970</v>
      </c>
      <c r="J123" s="66">
        <v>8.0910000000000011</v>
      </c>
    </row>
    <row r="124" spans="9:10" x14ac:dyDescent="0.25">
      <c r="I124" s="68">
        <v>45975</v>
      </c>
      <c r="J124" s="66">
        <v>99.98</v>
      </c>
    </row>
    <row r="125" spans="9:10" x14ac:dyDescent="0.25">
      <c r="I125" s="68">
        <v>45980</v>
      </c>
      <c r="J125" s="66">
        <v>179.97</v>
      </c>
    </row>
    <row r="126" spans="9:10" x14ac:dyDescent="0.25">
      <c r="I126" s="68">
        <v>45982</v>
      </c>
      <c r="J126" s="66">
        <v>47.992000000000004</v>
      </c>
    </row>
    <row r="127" spans="9:10" x14ac:dyDescent="0.25">
      <c r="I127" s="68">
        <v>45985</v>
      </c>
      <c r="J127" s="66">
        <v>116.99100000000001</v>
      </c>
    </row>
    <row r="128" spans="9:10" x14ac:dyDescent="0.25">
      <c r="I128" s="68">
        <v>45996</v>
      </c>
      <c r="J128" s="66">
        <v>413.51350000000002</v>
      </c>
    </row>
    <row r="129" spans="9:10" x14ac:dyDescent="0.25">
      <c r="I129" s="68">
        <v>45999</v>
      </c>
      <c r="J129" s="66">
        <v>199.96</v>
      </c>
    </row>
    <row r="130" spans="9:10" x14ac:dyDescent="0.25">
      <c r="I130" s="68">
        <v>46001</v>
      </c>
      <c r="J130" s="66">
        <v>299.95</v>
      </c>
    </row>
    <row r="131" spans="9:10" x14ac:dyDescent="0.25">
      <c r="I131" s="68">
        <v>46005</v>
      </c>
      <c r="J131" s="66">
        <v>4424.9375</v>
      </c>
    </row>
    <row r="132" spans="9:10" x14ac:dyDescent="0.25">
      <c r="I132" s="68">
        <v>46007</v>
      </c>
      <c r="J132" s="66">
        <v>279.95999999999998</v>
      </c>
    </row>
    <row r="133" spans="9:10" x14ac:dyDescent="0.25">
      <c r="I133" s="68">
        <v>46015</v>
      </c>
      <c r="J133" s="66">
        <v>284.98099999999999</v>
      </c>
    </row>
    <row r="134" spans="9:10" x14ac:dyDescent="0.25">
      <c r="I134" s="68">
        <v>46019</v>
      </c>
      <c r="J134" s="66">
        <v>191.952</v>
      </c>
    </row>
    <row r="135" spans="9:10" x14ac:dyDescent="0.25">
      <c r="I135" s="47" t="s">
        <v>516</v>
      </c>
      <c r="J135" s="66">
        <v>69226.345499999908</v>
      </c>
    </row>
  </sheetData>
  <sortState xmlns:xlrd2="http://schemas.microsoft.com/office/spreadsheetml/2017/richdata2" ref="I37:K42">
    <sortCondition descending="1" ref="J38"/>
  </sortState>
  <mergeCells count="34">
    <mergeCell ref="A1:H1"/>
    <mergeCell ref="A3:H3"/>
    <mergeCell ref="A6:H6"/>
    <mergeCell ref="A7:H7"/>
    <mergeCell ref="A8:H8"/>
    <mergeCell ref="A9:H9"/>
    <mergeCell ref="A10:H10"/>
    <mergeCell ref="A11:H11"/>
    <mergeCell ref="A12:H12"/>
    <mergeCell ref="A13:H13"/>
    <mergeCell ref="A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34:H34"/>
    <mergeCell ref="A35:H35"/>
    <mergeCell ref="A36:H36"/>
    <mergeCell ref="A37:H37"/>
    <mergeCell ref="A29:H29"/>
    <mergeCell ref="A30:H30"/>
    <mergeCell ref="A31:H31"/>
    <mergeCell ref="A32:H32"/>
    <mergeCell ref="A33:H33"/>
  </mergeCells>
  <pageMargins left="0.75" right="0.75" top="1" bottom="1" header="0.511811023622047" footer="0.511811023622047"/>
  <pageSetup paperSize="9" orientation="portrait" horizontalDpi="300" verticalDpi="300"/>
  <drawing r:id="rId6"/>
  <extLst>
    <ext xmlns:x14="http://schemas.microsoft.com/office/spreadsheetml/2009/9/main" uri="{A8765BA9-456A-4dab-B4F3-ACF838C121DE}">
      <x14:slicerList>
        <x14:slicer r:id="rId7"/>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F5496"/>
  </sheetPr>
  <dimension ref="A1:H56"/>
  <sheetViews>
    <sheetView tabSelected="1" topLeftCell="A32" zoomScaleNormal="100" workbookViewId="0">
      <selection activeCell="O59" sqref="O59"/>
    </sheetView>
  </sheetViews>
  <sheetFormatPr defaultColWidth="8.7109375" defaultRowHeight="15" x14ac:dyDescent="0.25"/>
  <cols>
    <col min="1" max="8" width="18" customWidth="1"/>
  </cols>
  <sheetData>
    <row r="1" spans="1:8" ht="15.75" customHeight="1" x14ac:dyDescent="0.25">
      <c r="A1" s="59" t="s">
        <v>456</v>
      </c>
      <c r="B1" s="59"/>
      <c r="C1" s="59"/>
      <c r="D1" s="59"/>
      <c r="E1" s="59"/>
      <c r="F1" s="59"/>
      <c r="G1" s="59"/>
      <c r="H1" s="59"/>
    </row>
    <row r="3" spans="1:8" ht="15" customHeight="1" x14ac:dyDescent="0.25">
      <c r="A3" s="60" t="s">
        <v>457</v>
      </c>
      <c r="B3" s="60"/>
      <c r="C3" s="60"/>
      <c r="D3" s="60"/>
      <c r="E3" s="60"/>
      <c r="F3" s="60"/>
      <c r="G3" s="60"/>
      <c r="H3" s="60"/>
    </row>
    <row r="5" spans="1:8" ht="15.75" customHeight="1" x14ac:dyDescent="0.25">
      <c r="A5" s="5" t="s">
        <v>458</v>
      </c>
    </row>
    <row r="6" spans="1:8" ht="15" customHeight="1" x14ac:dyDescent="0.25">
      <c r="A6" s="56" t="s">
        <v>459</v>
      </c>
      <c r="B6" s="56"/>
      <c r="C6" s="56" t="s">
        <v>460</v>
      </c>
      <c r="D6" s="56"/>
      <c r="E6" s="56"/>
      <c r="F6" s="56" t="s">
        <v>461</v>
      </c>
      <c r="G6" s="56"/>
      <c r="H6" s="56"/>
    </row>
    <row r="7" spans="1:8" ht="15" customHeight="1" x14ac:dyDescent="0.25">
      <c r="A7" s="52" t="s">
        <v>462</v>
      </c>
      <c r="B7" s="52"/>
      <c r="C7" s="54" t="s">
        <v>463</v>
      </c>
      <c r="D7" s="54"/>
      <c r="E7" s="54"/>
      <c r="F7" s="54" t="s">
        <v>464</v>
      </c>
      <c r="G7" s="54"/>
      <c r="H7" s="54"/>
    </row>
    <row r="8" spans="1:8" ht="15" customHeight="1" x14ac:dyDescent="0.25">
      <c r="A8" s="52" t="s">
        <v>465</v>
      </c>
      <c r="B8" s="52"/>
      <c r="C8" s="54" t="s">
        <v>466</v>
      </c>
      <c r="D8" s="54"/>
      <c r="E8" s="54"/>
      <c r="F8" s="54" t="s">
        <v>467</v>
      </c>
      <c r="G8" s="54"/>
      <c r="H8" s="54"/>
    </row>
    <row r="9" spans="1:8" ht="15" customHeight="1" x14ac:dyDescent="0.25">
      <c r="A9" s="52" t="s">
        <v>468</v>
      </c>
      <c r="B9" s="52"/>
      <c r="C9" s="54" t="s">
        <v>469</v>
      </c>
      <c r="D9" s="54"/>
      <c r="E9" s="54"/>
      <c r="F9" s="54" t="s">
        <v>470</v>
      </c>
      <c r="G9" s="54"/>
      <c r="H9" s="54"/>
    </row>
    <row r="10" spans="1:8" ht="15" customHeight="1" x14ac:dyDescent="0.25">
      <c r="A10" s="52" t="s">
        <v>471</v>
      </c>
      <c r="B10" s="52"/>
      <c r="C10" s="54" t="s">
        <v>472</v>
      </c>
      <c r="D10" s="54"/>
      <c r="E10" s="54"/>
      <c r="F10" s="54" t="s">
        <v>473</v>
      </c>
      <c r="G10" s="54"/>
      <c r="H10" s="54"/>
    </row>
    <row r="11" spans="1:8" ht="15" customHeight="1" x14ac:dyDescent="0.25">
      <c r="A11" s="52" t="s">
        <v>474</v>
      </c>
      <c r="B11" s="52"/>
      <c r="C11" s="54" t="s">
        <v>475</v>
      </c>
      <c r="D11" s="54"/>
      <c r="E11" s="54"/>
      <c r="F11" s="54" t="s">
        <v>476</v>
      </c>
      <c r="G11" s="54"/>
      <c r="H11" s="54"/>
    </row>
    <row r="14" spans="1:8" ht="15.75" customHeight="1" x14ac:dyDescent="0.25">
      <c r="A14" s="5" t="s">
        <v>477</v>
      </c>
    </row>
    <row r="15" spans="1:8" ht="15" customHeight="1" x14ac:dyDescent="0.25">
      <c r="A15" s="4" t="s">
        <v>43</v>
      </c>
      <c r="B15" s="4" t="s">
        <v>478</v>
      </c>
    </row>
    <row r="16" spans="1:8" ht="15" customHeight="1" x14ac:dyDescent="0.25">
      <c r="A16" s="20" t="s">
        <v>69</v>
      </c>
      <c r="B16" s="24">
        <f>SUMIF('Sales Data'!H4:H105,A16,'Sales Data'!N4:N105)</f>
        <v>45241.649499999992</v>
      </c>
    </row>
    <row r="17" spans="1:8" ht="15" customHeight="1" x14ac:dyDescent="0.25">
      <c r="A17" s="20" t="s">
        <v>110</v>
      </c>
      <c r="B17" s="24">
        <f>SUMIF('Sales Data'!H4:H105,A17,'Sales Data'!N4:N105)</f>
        <v>22248.5795</v>
      </c>
    </row>
    <row r="18" spans="1:8" ht="15" customHeight="1" x14ac:dyDescent="0.25">
      <c r="A18" s="20" t="s">
        <v>59</v>
      </c>
      <c r="B18" s="24">
        <f>SUMIF('Sales Data'!H4:H105,A18,'Sales Data'!N4:N105)</f>
        <v>1736.1165000000001</v>
      </c>
    </row>
    <row r="20" spans="1:8" ht="15" customHeight="1" x14ac:dyDescent="0.25">
      <c r="A20" s="61" t="s">
        <v>479</v>
      </c>
      <c r="B20" s="61"/>
      <c r="C20" s="61"/>
      <c r="D20" s="61"/>
      <c r="E20" s="61"/>
      <c r="F20" s="61"/>
      <c r="G20" s="61"/>
      <c r="H20" s="61"/>
    </row>
    <row r="22" spans="1:8" ht="15.75" customHeight="1" x14ac:dyDescent="0.25">
      <c r="A22" s="5" t="s">
        <v>480</v>
      </c>
    </row>
    <row r="23" spans="1:8" ht="15" customHeight="1" x14ac:dyDescent="0.25">
      <c r="A23" s="4" t="s">
        <v>41</v>
      </c>
      <c r="B23" s="4" t="s">
        <v>478</v>
      </c>
      <c r="C23" s="4" t="s">
        <v>481</v>
      </c>
    </row>
    <row r="24" spans="1:8" ht="15" customHeight="1" x14ac:dyDescent="0.25">
      <c r="A24" s="20" t="s">
        <v>67</v>
      </c>
      <c r="B24" s="24">
        <f>SUMIF('Sales Data'!F4:F105,A24,'Sales Data'!N4:N105)</f>
        <v>17937.660500000016</v>
      </c>
      <c r="C24" s="20">
        <f>COUNTIF('Sales Data'!F4:F105,A24)</f>
        <v>32</v>
      </c>
    </row>
    <row r="25" spans="1:8" ht="15" customHeight="1" x14ac:dyDescent="0.25">
      <c r="A25" s="20" t="s">
        <v>77</v>
      </c>
      <c r="B25" s="24">
        <f>SUMIF('Sales Data'!F4:F105,A25,'Sales Data'!N4:N105)</f>
        <v>16119.648999999999</v>
      </c>
      <c r="C25" s="20">
        <f>COUNTIF('Sales Data'!F4:F105,A25)</f>
        <v>25</v>
      </c>
    </row>
    <row r="26" spans="1:8" ht="15" customHeight="1" x14ac:dyDescent="0.25">
      <c r="A26" s="20" t="s">
        <v>57</v>
      </c>
      <c r="B26" s="24">
        <f>SUMIF('Sales Data'!F4:F105,A26,'Sales Data'!N4:N105)</f>
        <v>8453.0035000000007</v>
      </c>
      <c r="C26" s="20">
        <f>COUNTIF('Sales Data'!F4:F105,A26)</f>
        <v>20</v>
      </c>
    </row>
    <row r="27" spans="1:8" ht="15" customHeight="1" x14ac:dyDescent="0.25">
      <c r="A27" s="20" t="s">
        <v>118</v>
      </c>
      <c r="B27" s="24">
        <f>SUMIF('Sales Data'!F4:F105,A27,'Sales Data'!N4:N105)</f>
        <v>8107.2664999999997</v>
      </c>
      <c r="C27" s="20">
        <f>COUNTIF('Sales Data'!F4:F105,A27)</f>
        <v>10</v>
      </c>
    </row>
    <row r="28" spans="1:8" ht="15" customHeight="1" x14ac:dyDescent="0.25">
      <c r="A28" s="20" t="s">
        <v>89</v>
      </c>
      <c r="B28" s="24">
        <f>SUMIF('Sales Data'!F4:F105,A28,'Sales Data'!N4:N105)</f>
        <v>18608.766000000003</v>
      </c>
      <c r="C28" s="20">
        <f>COUNTIF('Sales Data'!F4:F105,A28)</f>
        <v>15</v>
      </c>
    </row>
    <row r="30" spans="1:8" ht="15" customHeight="1" x14ac:dyDescent="0.25">
      <c r="A30" s="61" t="s">
        <v>482</v>
      </c>
      <c r="B30" s="61"/>
      <c r="C30" s="61"/>
      <c r="D30" s="61"/>
      <c r="E30" s="61"/>
      <c r="F30" s="61"/>
      <c r="G30" s="61"/>
      <c r="H30" s="61"/>
    </row>
    <row r="32" spans="1:8" ht="15.75" customHeight="1" x14ac:dyDescent="0.25">
      <c r="A32" s="5" t="s">
        <v>483</v>
      </c>
    </row>
    <row r="33" spans="1:8" ht="15" customHeight="1" x14ac:dyDescent="0.25">
      <c r="A33" s="4" t="s">
        <v>51</v>
      </c>
      <c r="B33" s="4" t="s">
        <v>478</v>
      </c>
      <c r="C33" s="4" t="s">
        <v>484</v>
      </c>
    </row>
    <row r="34" spans="1:8" ht="15" customHeight="1" x14ac:dyDescent="0.25">
      <c r="A34" s="20" t="s">
        <v>61</v>
      </c>
      <c r="B34" s="24">
        <f>SUMIF('Sales Data'!P4:P105,A34,'Sales Data'!N4:N105)</f>
        <v>22987.416000000008</v>
      </c>
      <c r="C34" s="24">
        <f>AVERAGEIF('Sales Data'!P4:P105,A34,'Sales Data'!N4:N105)</f>
        <v>792.66951724137959</v>
      </c>
    </row>
    <row r="35" spans="1:8" ht="15" customHeight="1" x14ac:dyDescent="0.25">
      <c r="A35" s="20" t="s">
        <v>71</v>
      </c>
      <c r="B35" s="24">
        <f>SUMIF('Sales Data'!P4:P105,A35,'Sales Data'!N4:N105)</f>
        <v>18996.035499999998</v>
      </c>
      <c r="C35" s="24">
        <f>AVERAGEIF('Sales Data'!P4:P105,A35,'Sales Data'!N4:N105)</f>
        <v>791.50147916666663</v>
      </c>
    </row>
    <row r="36" spans="1:8" ht="15" customHeight="1" x14ac:dyDescent="0.25">
      <c r="A36" s="20" t="s">
        <v>79</v>
      </c>
      <c r="B36" s="24">
        <f>SUMIF('Sales Data'!P4:P105,A36,'Sales Data'!N4:N105)</f>
        <v>18968.448500000006</v>
      </c>
      <c r="C36" s="24">
        <f>AVERAGEIF('Sales Data'!P4:P105,A36,'Sales Data'!N4:N105)</f>
        <v>862.20220454545483</v>
      </c>
    </row>
    <row r="37" spans="1:8" ht="15" customHeight="1" x14ac:dyDescent="0.25">
      <c r="A37" s="20" t="s">
        <v>105</v>
      </c>
      <c r="B37" s="24">
        <f>SUMIF('Sales Data'!P4:P105,A37,'Sales Data'!N4:N105)</f>
        <v>8274.4454999999962</v>
      </c>
      <c r="C37" s="24">
        <f>AVERAGEIF('Sales Data'!P4:P105,A37,'Sales Data'!N4:N105)</f>
        <v>318.24790384615369</v>
      </c>
    </row>
    <row r="39" spans="1:8" ht="15" customHeight="1" x14ac:dyDescent="0.25">
      <c r="A39" s="69" t="s">
        <v>485</v>
      </c>
      <c r="B39" s="61"/>
      <c r="C39" s="61"/>
      <c r="D39" s="61"/>
      <c r="E39" s="61"/>
      <c r="F39" s="61"/>
      <c r="G39" s="61"/>
      <c r="H39" s="61"/>
    </row>
    <row r="41" spans="1:8" ht="15.75" customHeight="1" x14ac:dyDescent="0.25">
      <c r="A41" s="5" t="s">
        <v>486</v>
      </c>
    </row>
    <row r="42" spans="1:8" ht="15" customHeight="1" x14ac:dyDescent="0.25">
      <c r="A42" s="4" t="s">
        <v>50</v>
      </c>
      <c r="B42" s="4" t="s">
        <v>487</v>
      </c>
    </row>
    <row r="43" spans="1:8" ht="15" customHeight="1" x14ac:dyDescent="0.25">
      <c r="A43" s="20" t="s">
        <v>70</v>
      </c>
      <c r="B43" s="20">
        <f>COUNTIF('Sales Data'!O4:O105,A43)</f>
        <v>63</v>
      </c>
    </row>
    <row r="44" spans="1:8" ht="15" customHeight="1" x14ac:dyDescent="0.25">
      <c r="A44" s="20" t="s">
        <v>60</v>
      </c>
      <c r="B44" s="20">
        <f>COUNTIF('Sales Data'!O4:O105,A44)</f>
        <v>9</v>
      </c>
    </row>
    <row r="45" spans="1:8" ht="15" customHeight="1" x14ac:dyDescent="0.25">
      <c r="A45" s="20" t="s">
        <v>111</v>
      </c>
      <c r="B45" s="20">
        <f>COUNTIF('Sales Data'!O4:O105,A45)</f>
        <v>16</v>
      </c>
    </row>
    <row r="46" spans="1:8" ht="15" customHeight="1" x14ac:dyDescent="0.25">
      <c r="A46" s="20" t="s">
        <v>83</v>
      </c>
      <c r="B46" s="20">
        <f>COUNTIF('Sales Data'!O4:O105,A46)</f>
        <v>14</v>
      </c>
    </row>
    <row r="48" spans="1:8" ht="15" customHeight="1" x14ac:dyDescent="0.25">
      <c r="A48" s="61" t="s">
        <v>488</v>
      </c>
      <c r="B48" s="61"/>
      <c r="C48" s="61"/>
      <c r="D48" s="61"/>
      <c r="E48" s="61"/>
      <c r="F48" s="61"/>
      <c r="G48" s="61"/>
      <c r="H48" s="61"/>
    </row>
    <row r="50" spans="1:8" ht="15.75" customHeight="1" x14ac:dyDescent="0.25">
      <c r="A50" s="5" t="s">
        <v>489</v>
      </c>
    </row>
    <row r="51" spans="1:8" ht="15" customHeight="1" x14ac:dyDescent="0.25">
      <c r="A51" s="52" t="s">
        <v>490</v>
      </c>
      <c r="B51" s="52"/>
      <c r="C51" s="52"/>
      <c r="D51" s="52"/>
      <c r="E51" s="52"/>
      <c r="F51" s="52"/>
      <c r="G51" s="52"/>
      <c r="H51" s="52"/>
    </row>
    <row r="52" spans="1:8" ht="15" customHeight="1" x14ac:dyDescent="0.25">
      <c r="A52" s="52" t="s">
        <v>491</v>
      </c>
      <c r="B52" s="52"/>
      <c r="C52" s="52"/>
      <c r="D52" s="52"/>
      <c r="E52" s="52"/>
      <c r="F52" s="52"/>
      <c r="G52" s="52"/>
      <c r="H52" s="52"/>
    </row>
    <row r="53" spans="1:8" ht="15" customHeight="1" x14ac:dyDescent="0.25">
      <c r="A53" s="52" t="s">
        <v>492</v>
      </c>
      <c r="B53" s="52"/>
      <c r="C53" s="52"/>
      <c r="D53" s="52"/>
      <c r="E53" s="52"/>
      <c r="F53" s="52"/>
      <c r="G53" s="52"/>
      <c r="H53" s="52"/>
    </row>
    <row r="54" spans="1:8" ht="15" customHeight="1" x14ac:dyDescent="0.25">
      <c r="A54" s="52" t="s">
        <v>493</v>
      </c>
      <c r="B54" s="52"/>
      <c r="C54" s="52"/>
      <c r="D54" s="52"/>
      <c r="E54" s="52"/>
      <c r="F54" s="52"/>
      <c r="G54" s="52"/>
      <c r="H54" s="52"/>
    </row>
    <row r="55" spans="1:8" ht="15" customHeight="1" x14ac:dyDescent="0.25">
      <c r="A55" s="52" t="s">
        <v>494</v>
      </c>
      <c r="B55" s="52"/>
      <c r="C55" s="52"/>
      <c r="D55" s="52"/>
      <c r="E55" s="52"/>
      <c r="F55" s="52"/>
      <c r="G55" s="52"/>
      <c r="H55" s="52"/>
    </row>
    <row r="56" spans="1:8" ht="15" customHeight="1" x14ac:dyDescent="0.25">
      <c r="A56" s="52" t="s">
        <v>495</v>
      </c>
      <c r="B56" s="52"/>
      <c r="C56" s="52"/>
      <c r="D56" s="52"/>
      <c r="E56" s="52"/>
      <c r="F56" s="52"/>
      <c r="G56" s="52"/>
      <c r="H56" s="52"/>
    </row>
  </sheetData>
  <sortState xmlns:xlrd2="http://schemas.microsoft.com/office/spreadsheetml/2017/richdata2" ref="A34:C37">
    <sortCondition descending="1" ref="B34:B37"/>
  </sortState>
  <mergeCells count="30">
    <mergeCell ref="A1:H1"/>
    <mergeCell ref="A3:H3"/>
    <mergeCell ref="A6:B6"/>
    <mergeCell ref="C6:E6"/>
    <mergeCell ref="F6:H6"/>
    <mergeCell ref="A7:B7"/>
    <mergeCell ref="C7:E7"/>
    <mergeCell ref="F7:H7"/>
    <mergeCell ref="A8:B8"/>
    <mergeCell ref="C8:E8"/>
    <mergeCell ref="F8:H8"/>
    <mergeCell ref="A9:B9"/>
    <mergeCell ref="C9:E9"/>
    <mergeCell ref="F9:H9"/>
    <mergeCell ref="A10:B10"/>
    <mergeCell ref="C10:E10"/>
    <mergeCell ref="F10:H10"/>
    <mergeCell ref="A11:B11"/>
    <mergeCell ref="C11:E11"/>
    <mergeCell ref="F11:H11"/>
    <mergeCell ref="A20:H20"/>
    <mergeCell ref="A30:H30"/>
    <mergeCell ref="A54:H54"/>
    <mergeCell ref="A55:H55"/>
    <mergeCell ref="A56:H56"/>
    <mergeCell ref="A39:H39"/>
    <mergeCell ref="A48:H48"/>
    <mergeCell ref="A51:H51"/>
    <mergeCell ref="A52:H52"/>
    <mergeCell ref="A53:H53"/>
  </mergeCells>
  <pageMargins left="0.75" right="0.75" top="1" bottom="1" header="0.511811023622047" footer="0.511811023622047"/>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F06D81-29A6-4FA8-884A-6B9A5D73B8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START HERE</vt:lpstr>
      <vt:lpstr>Sales Data</vt:lpstr>
      <vt:lpstr>Sheet1</vt:lpstr>
      <vt:lpstr>SUM Functions</vt:lpstr>
      <vt:lpstr>COUNT Functions</vt:lpstr>
      <vt:lpstr>AVERAGE MIN MAX</vt:lpstr>
      <vt:lpstr>IF Functions</vt:lpstr>
      <vt:lpstr>Campaign_Data</vt:lpstr>
      <vt:lpstr>VLOOKUP XLOOKUP</vt:lpstr>
      <vt:lpstr>Sheet2</vt:lpstr>
      <vt:lpstr>TEXT Functions</vt:lpstr>
      <vt:lpstr>Sheet3</vt:lpstr>
      <vt:lpstr>Sheet4</vt:lpstr>
      <vt:lpstr>Sheet5</vt:lpstr>
      <vt:lpstr>Sheet6</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Le</cp:lastModifiedBy>
  <cp:revision>0</cp:revision>
  <dcterms:created xsi:type="dcterms:W3CDTF">2026-02-10T02:58:52Z</dcterms:created>
  <dcterms:modified xsi:type="dcterms:W3CDTF">2026-02-13T10:28:25Z</dcterms:modified>
  <dc:language>en-US</dc:language>
</cp:coreProperties>
</file>