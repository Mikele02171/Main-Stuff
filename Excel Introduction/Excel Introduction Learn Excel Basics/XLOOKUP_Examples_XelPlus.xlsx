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codeName="ThisWorkbook"/>
  <bookViews>
    <workbookView xWindow="1512" yWindow="1512" windowWidth="25260" windowHeight="13176" activeTab="4"/>
  </bookViews>
  <sheets>
    <sheet name="XelPlus Insider" sheetId="11" r:id="rId1"/>
    <sheet name="Basics" sheetId="3" r:id="rId2"/>
    <sheet name="Master" sheetId="9" r:id="rId3"/>
    <sheet name="Salary" sheetId="8" r:id="rId4"/>
    <sheet name="B_Master" sheetId="4" r:id="rId5"/>
  </sheets>
  <externalReferences>
    <externalReference r:id="rId6"/>
    <externalReference r:id="rId7"/>
    <externalReference r:id="rId8"/>
  </externalReferences>
  <definedNames>
    <definedName name="_xlcn.WorksheetConnection_T9A2C161" hidden="1">#REF!</definedName>
    <definedName name="applist">INDEX(('[1]INDEX MATCH'!$A$37:$A$51,'[1]INDEX MATCH'!$B$37:$B$51,'[1]INDEX MATCH'!$C$37:$C$51),,,'[1]INDEX MATCH'!$I$36)</definedName>
    <definedName name="Flag">INDIRECT([2]Report!$C$2)</definedName>
    <definedName name="mylist">INDEX(([3]!TableProd[Productivity],[3]!TableGame[Games],[3]!TableUtility[Utility]),,,MATCH([3]Table!$F$4,[3]Table!$A$4:$C$4,0))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3" i="8" l="1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C4" i="8" l="1"/>
  <c r="D4" i="8" s="1"/>
  <c r="C5" i="8"/>
  <c r="D5" i="8" s="1"/>
  <c r="C6" i="8"/>
  <c r="D6" i="8" s="1"/>
  <c r="C7" i="8"/>
  <c r="D7" i="8" s="1"/>
  <c r="C8" i="8"/>
  <c r="D8" i="8" s="1"/>
  <c r="G5" i="8" s="1" a="1"/>
  <c r="G5" i="8" s="1"/>
  <c r="C9" i="8"/>
  <c r="D9" i="8" s="1"/>
  <c r="C10" i="8"/>
  <c r="D10" i="8" s="1"/>
  <c r="C11" i="8"/>
  <c r="D11" i="8" s="1"/>
  <c r="C12" i="8"/>
  <c r="D12" i="8" s="1"/>
  <c r="C13" i="8"/>
  <c r="D13" i="8" s="1"/>
  <c r="C14" i="8"/>
  <c r="D14" i="8" s="1"/>
  <c r="C15" i="8"/>
  <c r="D15" i="8" s="1"/>
  <c r="C16" i="8"/>
  <c r="D16" i="8" s="1"/>
  <c r="C17" i="8"/>
  <c r="D17" i="8" s="1"/>
  <c r="C18" i="8"/>
  <c r="D18" i="8" s="1"/>
  <c r="C19" i="8"/>
  <c r="D19" i="8" s="1"/>
  <c r="C20" i="8"/>
  <c r="D20" i="8" s="1"/>
  <c r="D3" i="8"/>
  <c r="B5" i="3"/>
  <c r="B6" i="3"/>
  <c r="B7" i="3"/>
  <c r="B8" i="3"/>
  <c r="B9" i="3"/>
  <c r="B10" i="3"/>
  <c r="B11" i="3"/>
  <c r="B12" i="3"/>
  <c r="B13" i="3"/>
  <c r="B4" i="3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<sst xmlns="http://schemas.openxmlformats.org/spreadsheetml/2006/main" count="248" uniqueCount="85">
  <si>
    <t>Employee ID</t>
  </si>
  <si>
    <t>Employee</t>
  </si>
  <si>
    <t>Yearly Salary</t>
  </si>
  <si>
    <t>ID4</t>
  </si>
  <si>
    <t>Gary Miller</t>
  </si>
  <si>
    <t>ID6</t>
  </si>
  <si>
    <t>ID18</t>
  </si>
  <si>
    <t>James Willard</t>
  </si>
  <si>
    <t>ID21</t>
  </si>
  <si>
    <t>ID12</t>
  </si>
  <si>
    <t>Richard Elliot</t>
  </si>
  <si>
    <t>ID20</t>
  </si>
  <si>
    <t>ID8</t>
  </si>
  <si>
    <t>Robert Spear</t>
  </si>
  <si>
    <t>ID23</t>
  </si>
  <si>
    <t>Roger Mun</t>
  </si>
  <si>
    <t>ID1</t>
  </si>
  <si>
    <t>ID24</t>
  </si>
  <si>
    <t>Paul Garza</t>
  </si>
  <si>
    <t>Robert Marquez</t>
  </si>
  <si>
    <t>ID3</t>
  </si>
  <si>
    <t>Natalie Porter</t>
  </si>
  <si>
    <t>ID27</t>
  </si>
  <si>
    <t>ID13</t>
  </si>
  <si>
    <t>Kim West</t>
  </si>
  <si>
    <t>ID7</t>
  </si>
  <si>
    <t>Stevie Bridge</t>
  </si>
  <si>
    <t>ID29</t>
  </si>
  <si>
    <t>Andre Cooper</t>
  </si>
  <si>
    <t>ID19</t>
  </si>
  <si>
    <t>Paul Wells</t>
  </si>
  <si>
    <t>ID30</t>
  </si>
  <si>
    <t>Robert Musser</t>
  </si>
  <si>
    <t>ID28</t>
  </si>
  <si>
    <t>Daniel Garrett</t>
  </si>
  <si>
    <t>ID14</t>
  </si>
  <si>
    <t>Ann Withers</t>
  </si>
  <si>
    <t>ID25</t>
  </si>
  <si>
    <t>Paul Hill</t>
  </si>
  <si>
    <t>ID16</t>
  </si>
  <si>
    <t>Corinna Schmidt</t>
  </si>
  <si>
    <t>ID22</t>
  </si>
  <si>
    <t>Ewan Thompson</t>
  </si>
  <si>
    <t>ID5</t>
  </si>
  <si>
    <t>Walter Miller</t>
  </si>
  <si>
    <t>Crystal Doyle</t>
  </si>
  <si>
    <t>ID15</t>
  </si>
  <si>
    <t>Betina Bauer</t>
  </si>
  <si>
    <t>ID2</t>
  </si>
  <si>
    <t>Daniela Schreiber</t>
  </si>
  <si>
    <t>ID11</t>
  </si>
  <si>
    <t>Dan Ziegler</t>
  </si>
  <si>
    <t>ID9</t>
  </si>
  <si>
    <t>Peter Ramsy</t>
  </si>
  <si>
    <t>ID17</t>
  </si>
  <si>
    <t>Wolfgang Ramjac</t>
  </si>
  <si>
    <t>ID26</t>
  </si>
  <si>
    <t>Robert Richardson</t>
  </si>
  <si>
    <t>ID10</t>
  </si>
  <si>
    <t>Brigitte Bond</t>
  </si>
  <si>
    <t>Robert Blume</t>
  </si>
  <si>
    <t>Mike Saban</t>
  </si>
  <si>
    <t>Maria Tot</t>
  </si>
  <si>
    <t>ID31</t>
  </si>
  <si>
    <t>Lukas Hofer</t>
  </si>
  <si>
    <t>Bonus %</t>
  </si>
  <si>
    <t>EmployeID</t>
  </si>
  <si>
    <t>Department</t>
  </si>
  <si>
    <t>Finance</t>
  </si>
  <si>
    <t>Sales</t>
  </si>
  <si>
    <t>Procurement</t>
  </si>
  <si>
    <t>ID</t>
  </si>
  <si>
    <t>Lookup to the LEFT</t>
  </si>
  <si>
    <t>Employee Name</t>
  </si>
  <si>
    <t>Master Vertical</t>
  </si>
  <si>
    <t>Master Horizontal</t>
  </si>
  <si>
    <t>Salary</t>
  </si>
  <si>
    <t>Bonus</t>
  </si>
  <si>
    <t>New Bonus Scheme</t>
  </si>
  <si>
    <t>Max bonus</t>
  </si>
  <si>
    <t>Max Payment</t>
  </si>
  <si>
    <t xml:space="preserve">New Bonus </t>
  </si>
  <si>
    <t>XLOOKUP 5 Examples</t>
  </si>
  <si>
    <t>Who We Are</t>
  </si>
  <si>
    <r>
      <rPr>
        <b/>
        <sz val="14"/>
        <color theme="1"/>
        <rFont val="Aptos"/>
        <family val="2"/>
      </rPr>
      <t xml:space="preserve">At XelPlus, we understand the challenges of mastering data tools like Excel and Power BI. </t>
    </r>
    <r>
      <rPr>
        <sz val="14"/>
        <color theme="1"/>
        <rFont val="Aptos"/>
        <family val="2"/>
      </rPr>
      <t xml:space="preserve">
You see, most people don’t realize </t>
    </r>
    <r>
      <rPr>
        <b/>
        <sz val="14"/>
        <color theme="1"/>
        <rFont val="Aptos"/>
        <family val="2"/>
      </rPr>
      <t>how much easier their work could be</t>
    </r>
    <r>
      <rPr>
        <sz val="14"/>
        <color theme="1"/>
        <rFont val="Aptos"/>
        <family val="2"/>
      </rPr>
      <t xml:space="preserve"> - until they learn the right skills. 
</t>
    </r>
    <r>
      <rPr>
        <b/>
        <sz val="14"/>
        <color theme="1"/>
        <rFont val="Aptos"/>
        <family val="2"/>
      </rPr>
      <t xml:space="preserve">Are you ready to see what you’ve been missing? </t>
    </r>
    <r>
      <rPr>
        <sz val="14"/>
        <color theme="1"/>
        <rFont val="Aptos"/>
        <family val="2"/>
      </rPr>
      <t xml:space="preserve">
</t>
    </r>
    <r>
      <rPr>
        <b/>
        <sz val="14"/>
        <color theme="1"/>
        <rFont val="Aptos"/>
        <family val="2"/>
      </rPr>
      <t>Check out our courses here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</si>
</sst>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-&quot;??_);_(@_)"/>
    <numFmt numFmtId="165" formatCode="_(* #,##0_);_(* \(#,##0\);_(* &quot;-&quot;??_);_(@_)"/>
  </numFmts>
  <fonts count="14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Schriftart für Textkörper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rgb="FFEC4C4C"/>
      <name val="Aptos"/>
      <family val="2"/>
    </font>
    <font>
      <sz val="14"/>
      <color theme="1"/>
      <name val="Aptos"/>
      <family val="2"/>
    </font>
    <font>
      <b/>
      <sz val="14"/>
      <color theme="1"/>
      <name val="Aptos"/>
      <family val="2"/>
    </font>
    <font>
      <sz val="11"/>
      <color theme="1"/>
      <name val="Aptos"/>
      <family val="2"/>
    </font>
    <font>
      <u/>
      <sz val="11"/>
      <color theme="10"/>
      <name val="Aptos"/>
      <family val="2"/>
    </font>
    <font>
      <b/>
      <sz val="22"/>
      <color rgb="FF363636"/>
      <name val="Aptos"/>
      <family val="2"/>
    </font>
    <font>
      <b/>
      <sz val="14"/>
      <color rgb="FF363636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AEB"/>
        <bgColor indexed="64"/>
      </patternFill>
    </fill>
    <fill>
      <patternFill patternType="solid">
        <fgColor rgb="FFFEF6F6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theme="1" tint="0.24994659260841701"/>
      </bottom>
      <diagonal/>
    </border>
    <border>
      <left/>
      <right/>
      <top/>
      <bottom style="medium">
        <color rgb="FF2981B9"/>
      </bottom>
      <diagonal/>
    </border>
    <border>
      <left/>
      <right/>
      <top/>
      <bottom style="medium">
        <color rgb="FF9DA85E"/>
      </bottom>
      <diagonal/>
    </border>
    <border>
      <left/>
      <right/>
      <top/>
      <bottom style="thick">
        <color theme="1" tint="0.499984740745262"/>
      </bottom>
      <diagonal/>
    </border>
    <border>
      <left/>
      <right/>
      <top/>
      <bottom style="thick">
        <color rgb="FF808080"/>
      </bottom>
      <diagonal/>
    </border>
  </borders>
  <cellStyleXfs count="9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1" applyFill="0" applyAlignment="0" applyProtection="0"/>
    <xf numFmtId="0" fontId="6" fillId="0" borderId="2" applyNumberFormat="0" applyFill="0" applyAlignment="0" applyProtection="0"/>
    <xf numFmtId="0" fontId="6" fillId="0" borderId="3" applyNumberFormat="0" applyFill="0" applyAlignment="0" applyProtection="0"/>
    <xf numFmtId="164" fontId="2" fillId="0" borderId="0" applyFont="0" applyFill="0" applyBorder="0" applyAlignment="0" applyProtection="0"/>
    <xf numFmtId="0" fontId="1" fillId="0" borderId="0"/>
  </cellStyleXfs>
  <cellXfs count="23">
    <xf numFmtId="0" fontId="0" fillId="0" borderId="0" xfId="0"/>
    <xf numFmtId="0" fontId="2" fillId="0" borderId="0" xfId="1"/>
    <xf numFmtId="0" fontId="6" fillId="0" borderId="0" xfId="0" applyFont="1"/>
    <xf numFmtId="0" fontId="6" fillId="0" borderId="4" xfId="0" applyFont="1" applyBorder="1"/>
    <xf numFmtId="165" fontId="0" fillId="0" borderId="0" xfId="7" applyNumberFormat="1" applyFont="1"/>
    <xf numFmtId="0" fontId="6" fillId="0" borderId="5" xfId="0" applyFont="1" applyBorder="1"/>
    <xf numFmtId="9" fontId="0" fillId="0" borderId="0" xfId="0" applyNumberFormat="1"/>
    <xf numFmtId="165" fontId="0" fillId="0" borderId="0" xfId="7" applyNumberFormat="1" applyFont="1" applyBorder="1"/>
    <xf numFmtId="0" fontId="6" fillId="0" borderId="2" xfId="5"/>
    <xf numFmtId="0" fontId="0" fillId="3" borderId="0" xfId="0" applyFill="1"/>
    <xf numFmtId="165" fontId="0" fillId="0" borderId="0" xfId="0" applyNumberFormat="1"/>
    <xf numFmtId="0" fontId="2" fillId="0" borderId="0" xfId="1" applyAlignment="1">
      <alignment horizontal="left" vertical="center"/>
    </xf>
    <xf numFmtId="0" fontId="2" fillId="0" borderId="0" xfId="1" applyAlignment="1">
      <alignment horizontal="center" vertical="center"/>
    </xf>
    <xf numFmtId="0" fontId="7" fillId="0" borderId="0" xfId="8" applyFont="1"/>
    <xf numFmtId="0" fontId="10" fillId="0" borderId="0" xfId="1" applyFont="1"/>
    <xf numFmtId="0" fontId="10" fillId="0" borderId="0" xfId="1" applyFont="1" applyAlignment="1">
      <alignment wrapText="1"/>
    </xf>
    <xf numFmtId="0" fontId="11" fillId="0" borderId="0" xfId="3" applyFont="1" applyFill="1" applyBorder="1"/>
    <xf numFmtId="0" fontId="11" fillId="0" borderId="0" xfId="2" applyFont="1" applyFill="1" applyBorder="1"/>
    <xf numFmtId="0" fontId="12" fillId="0" borderId="0" xfId="1" applyFont="1"/>
    <xf numFmtId="0" fontId="13" fillId="0" borderId="0" xfId="1" applyFont="1"/>
    <xf numFmtId="0" fontId="10" fillId="2" borderId="0" xfId="1" applyFont="1" applyFill="1"/>
    <xf numFmtId="0" fontId="7" fillId="4" borderId="0" xfId="8" applyFont="1" applyFill="1" applyAlignment="1">
      <alignment horizontal="center"/>
    </xf>
    <xf numFmtId="0" fontId="8" fillId="0" borderId="0" xfId="1" applyFont="1" applyAlignment="1">
      <alignment horizontal="left" vertical="center" wrapText="1"/>
    </xf>
  </cellXfs>
  <cellStyles count="9">
    <cellStyle name="Comma" xfId="7" builtinId="3"/>
    <cellStyle name="Heading 1 2" xfId="5"/>
    <cellStyle name="Heading 2 2" xfId="6"/>
    <cellStyle name="Heading green" xfId="4"/>
    <cellStyle name="Hyperlink 2" xfId="2"/>
    <cellStyle name="Hyperlink 3" xfId="3"/>
    <cellStyle name="Normal" xfId="0" builtinId="0"/>
    <cellStyle name="Normal 2" xfId="1"/>
    <cellStyle name="Normal 3" xfId="8"/>
  </cellStyles>
  <dxfs count="0"/>
  <tableStyles count="0" defaultTableStyle="TableStyleMedium2" defaultPivotStyle="PivotStyleLight16"/>
  <colors>
    <mruColors>
      <color rgb="FFFFFAEB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svg"/><Relationship Id="rId3" Type="http://schemas.openxmlformats.org/officeDocument/2006/relationships/image" Target="../media/image2.png"/><Relationship Id="rId7" Type="http://schemas.openxmlformats.org/officeDocument/2006/relationships/image" Target="../media/image4.png"/><Relationship Id="rId2" Type="http://schemas.openxmlformats.org/officeDocument/2006/relationships/image" Target="../media/image1.png"/><Relationship Id="rId1" Type="http://schemas.openxmlformats.org/officeDocument/2006/relationships/hyperlink" Target="https://www.xelplus.com/courses" TargetMode="External"/><Relationship Id="rId6" Type="http://schemas.openxmlformats.org/officeDocument/2006/relationships/hyperlink" Target="https://www.xelplus.com/" TargetMode="External"/><Relationship Id="rId5" Type="http://schemas.openxmlformats.org/officeDocument/2006/relationships/image" Target="../media/image3.png"/><Relationship Id="rId4" Type="http://schemas.openxmlformats.org/officeDocument/2006/relationships/hyperlink" Target="https://www.xelplus.com/courses/" TargetMode="External"/><Relationship Id="rId9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128694</xdr:colOff>
      <xdr:row>11</xdr:row>
      <xdr:rowOff>114906</xdr:rowOff>
    </xdr:from>
    <xdr:to>
      <xdr:col>11</xdr:col>
      <xdr:colOff>127000</xdr:colOff>
      <xdr:row>19</xdr:row>
      <xdr:rowOff>3632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ED21CC52-BC8C-4FF4-BEB2-5C138AB5F59E}"/>
            </a:ext>
          </a:extLst>
        </xdr:cNvPr>
        <xdr:cNvSpPr/>
      </xdr:nvSpPr>
      <xdr:spPr>
        <a:xfrm>
          <a:off x="7656165" y="4844749"/>
          <a:ext cx="3383764" cy="1750183"/>
        </a:xfrm>
        <a:prstGeom prst="roundRect">
          <a:avLst/>
        </a:prstGeom>
        <a:solidFill>
          <a:srgbClr val="FEF6F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200" b="0" i="1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endParaRPr lang="x-none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This course has enabled me to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finish jobs in 5-10% of the time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due to my ability to process Excel so far. </a:t>
          </a:r>
          <a:endParaRPr lang="x-none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It has also given me the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confidence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to better get around Excel.</a:t>
          </a:r>
        </a:p>
        <a:p>
          <a:pPr algn="l"/>
          <a:r>
            <a:rPr lang="en-US" sz="1200" b="1" i="1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-</a:t>
          </a:r>
          <a:r>
            <a:rPr lang="en-US" sz="1200" b="1" i="1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Mitchell Ryan </a:t>
          </a:r>
          <a:endParaRPr lang="en-US" sz="1200" i="1">
            <a:solidFill>
              <a:schemeClr val="tx1">
                <a:lumMod val="75000"/>
                <a:lumOff val="25000"/>
              </a:schemeClr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5</xdr:col>
      <xdr:colOff>347096</xdr:colOff>
      <xdr:row>11</xdr:row>
      <xdr:rowOff>294099</xdr:rowOff>
    </xdr:from>
    <xdr:to>
      <xdr:col>5</xdr:col>
      <xdr:colOff>571724</xdr:colOff>
      <xdr:row>11</xdr:row>
      <xdr:rowOff>441928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28396049-70A8-475A-9096-CC315440B4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74567" y="5023942"/>
          <a:ext cx="224628" cy="147829"/>
        </a:xfrm>
        <a:prstGeom prst="rect">
          <a:avLst/>
        </a:prstGeom>
      </xdr:spPr>
    </xdr:pic>
    <xdr:clientData/>
  </xdr:twoCellAnchor>
  <xdr:twoCellAnchor>
    <xdr:from>
      <xdr:col>1</xdr:col>
      <xdr:colOff>169333</xdr:colOff>
      <xdr:row>11</xdr:row>
      <xdr:rowOff>120951</xdr:rowOff>
    </xdr:from>
    <xdr:to>
      <xdr:col>2</xdr:col>
      <xdr:colOff>3628572</xdr:colOff>
      <xdr:row>18</xdr:row>
      <xdr:rowOff>169333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A1C3389B-0992-4320-85D0-ECDAB32DCA38}"/>
            </a:ext>
          </a:extLst>
        </xdr:cNvPr>
        <xdr:cNvSpPr/>
      </xdr:nvSpPr>
      <xdr:spPr>
        <a:xfrm>
          <a:off x="272747" y="4850794"/>
          <a:ext cx="3676954" cy="1724782"/>
        </a:xfrm>
        <a:prstGeom prst="roundRect">
          <a:avLst/>
        </a:prstGeom>
        <a:solidFill>
          <a:srgbClr val="FEF6F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endParaRPr lang="x-none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The Black Belt Bundle gave me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'AH-HA' moments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every step of the way. </a:t>
          </a:r>
          <a:endParaRPr lang="x-none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I'm now able to use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Power Query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and</a:t>
          </a:r>
          <a:r>
            <a:rPr lang="x-none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create dashboards in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no time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!</a:t>
          </a:r>
          <a:r>
            <a:rPr lang="x-none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I'm very excited about it!</a:t>
          </a:r>
        </a:p>
        <a:p>
          <a:pPr algn="l"/>
          <a:r>
            <a:rPr lang="en-US" sz="1200" b="1" i="1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-</a:t>
          </a:r>
          <a:r>
            <a:rPr lang="en-US" sz="1200" b="1" i="1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Christian Fiset 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/>
          </a:r>
          <a:b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</a:br>
          <a:endParaRPr lang="en-US" sz="1200" i="1">
            <a:solidFill>
              <a:schemeClr val="tx1">
                <a:lumMod val="75000"/>
                <a:lumOff val="25000"/>
              </a:schemeClr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</xdr:col>
      <xdr:colOff>148530</xdr:colOff>
      <xdr:row>11</xdr:row>
      <xdr:rowOff>273232</xdr:rowOff>
    </xdr:from>
    <xdr:to>
      <xdr:col>2</xdr:col>
      <xdr:colOff>351819</xdr:colOff>
      <xdr:row>11</xdr:row>
      <xdr:rowOff>439347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DCFB2DD2-6E17-4D78-B6B1-CE1B3EB166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9659" y="5003075"/>
          <a:ext cx="203289" cy="166115"/>
        </a:xfrm>
        <a:prstGeom prst="rect">
          <a:avLst/>
        </a:prstGeom>
      </xdr:spPr>
    </xdr:pic>
    <xdr:clientData/>
  </xdr:twoCellAnchor>
  <xdr:twoCellAnchor editAs="oneCell">
    <xdr:from>
      <xdr:col>2</xdr:col>
      <xdr:colOff>2350054</xdr:colOff>
      <xdr:row>4</xdr:row>
      <xdr:rowOff>1150065</xdr:rowOff>
    </xdr:from>
    <xdr:to>
      <xdr:col>2</xdr:col>
      <xdr:colOff>3397368</xdr:colOff>
      <xdr:row>7</xdr:row>
      <xdr:rowOff>291577</xdr:rowOff>
    </xdr:to>
    <xdr:pic>
      <xdr:nvPicPr>
        <xdr:cNvPr id="6" name="Google Shape;59;p13">
          <a:extLst>
            <a:ext uri="{FF2B5EF4-FFF2-40B4-BE49-F238E27FC236}">
              <a16:creationId xmlns:a16="http://schemas.microsoft.com/office/drawing/2014/main" xmlns="" id="{A7A08C28-4AF1-484E-BDFD-24B96B543EE4}"/>
            </a:ext>
          </a:extLst>
        </xdr:cNvPr>
        <xdr:cNvPicPr preferRelativeResize="0"/>
      </xdr:nvPicPr>
      <xdr:blipFill>
        <a:blip xmlns:r="http://schemas.openxmlformats.org/officeDocument/2006/relationships" r:embed="rId3">
          <a:alphaModFix/>
        </a:blip>
        <a:stretch>
          <a:fillRect/>
        </a:stretch>
      </xdr:blipFill>
      <xdr:spPr>
        <a:xfrm rot="21080234">
          <a:off x="2671183" y="2657736"/>
          <a:ext cx="1047314" cy="99752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3698721</xdr:colOff>
      <xdr:row>6</xdr:row>
      <xdr:rowOff>74385</xdr:rowOff>
    </xdr:from>
    <xdr:to>
      <xdr:col>5</xdr:col>
      <xdr:colOff>314478</xdr:colOff>
      <xdr:row>8</xdr:row>
      <xdr:rowOff>76198</xdr:rowOff>
    </xdr:to>
    <xdr:sp macro="" textlink="">
      <xdr:nvSpPr>
        <xdr:cNvPr id="7" name="Google Shape;62;p1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3287F1A4-605A-4F66-ACC2-26939A1F39AB}"/>
            </a:ext>
          </a:extLst>
        </xdr:cNvPr>
        <xdr:cNvSpPr/>
      </xdr:nvSpPr>
      <xdr:spPr>
        <a:xfrm>
          <a:off x="4019850" y="3312885"/>
          <a:ext cx="3822099" cy="507999"/>
        </a:xfrm>
        <a:prstGeom prst="roundRect">
          <a:avLst>
            <a:gd name="adj" fmla="val 50000"/>
          </a:avLst>
        </a:prstGeom>
        <a:solidFill>
          <a:srgbClr val="EC4C4C"/>
        </a:soli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2400"/>
            <a:buFont typeface="Noto Sans Symbols"/>
            <a:buNone/>
          </a:pPr>
          <a:r>
            <a:rPr lang="x-none" sz="1600" b="1" i="0">
              <a:solidFill>
                <a:schemeClr val="lt1"/>
              </a:solidFill>
              <a:latin typeface="Proxima Nova"/>
              <a:ea typeface="Proxima Nova"/>
              <a:cs typeface="Proxima Nova"/>
              <a:sym typeface="Proxima Nova"/>
            </a:rPr>
            <a:t>Join Our </a:t>
          </a:r>
          <a:r>
            <a:rPr lang="en-US" sz="1600" b="1" i="0">
              <a:solidFill>
                <a:schemeClr val="lt1"/>
              </a:solidFill>
              <a:latin typeface="Proxima Nova"/>
              <a:ea typeface="Proxima Nova"/>
              <a:cs typeface="Proxima Nova"/>
              <a:sym typeface="Proxima Nova"/>
            </a:rPr>
            <a:t>Bestselling Courses Now</a:t>
          </a:r>
        </a:p>
      </xdr:txBody>
    </xdr:sp>
    <xdr:clientData/>
  </xdr:twoCellAnchor>
  <xdr:twoCellAnchor>
    <xdr:from>
      <xdr:col>2</xdr:col>
      <xdr:colOff>3840239</xdr:colOff>
      <xdr:row>11</xdr:row>
      <xdr:rowOff>133047</xdr:rowOff>
    </xdr:from>
    <xdr:to>
      <xdr:col>4</xdr:col>
      <xdr:colOff>622904</xdr:colOff>
      <xdr:row>18</xdr:row>
      <xdr:rowOff>181429</xdr:rowOff>
    </xdr:to>
    <xdr:sp macro="" textlink="">
      <xdr:nvSpPr>
        <xdr:cNvPr id="8" name="Rectangle: Rounded Corner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1E867F4-6CC0-4877-B435-896EEACB1379}"/>
            </a:ext>
          </a:extLst>
        </xdr:cNvPr>
        <xdr:cNvSpPr/>
      </xdr:nvSpPr>
      <xdr:spPr>
        <a:xfrm>
          <a:off x="4161368" y="4862890"/>
          <a:ext cx="3346750" cy="1724782"/>
        </a:xfrm>
        <a:prstGeom prst="roundRect">
          <a:avLst/>
        </a:prstGeom>
        <a:solidFill>
          <a:srgbClr val="E7F3EE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endParaRPr lang="x-none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r>
            <a:rPr lang="x-none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Absolutely eye-opening;</a:t>
          </a:r>
          <a:r>
            <a:rPr lang="x-none" sz="1200" b="0" i="0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Leila is an expert instructor who </a:t>
          </a:r>
          <a:r>
            <a:rPr lang="x-none" sz="1200" b="1" i="0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makes learning Excel enjoyable </a:t>
          </a:r>
          <a:r>
            <a:rPr lang="x-none" sz="1200" b="0" i="0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and easy to follow. </a:t>
          </a:r>
          <a:endParaRPr lang="en-US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-</a:t>
          </a:r>
          <a:r>
            <a:rPr lang="en-US" sz="1200" b="1" i="0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</a:t>
          </a:r>
          <a:r>
            <a:rPr lang="x-none" sz="1200" b="1" i="0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Aimee Schumacher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/>
          </a:r>
          <a:b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</a:br>
          <a:endParaRPr lang="en-US" sz="1200" i="1">
            <a:solidFill>
              <a:schemeClr val="tx1">
                <a:lumMod val="75000"/>
                <a:lumOff val="25000"/>
              </a:schemeClr>
            </a:solidFill>
            <a:latin typeface="Aptos" panose="020B0004020202020204" pitchFamily="34" charset="0"/>
          </a:endParaRPr>
        </a:p>
      </xdr:txBody>
    </xdr:sp>
    <xdr:clientData/>
  </xdr:twoCellAnchor>
  <xdr:twoCellAnchor editAs="oneCell">
    <xdr:from>
      <xdr:col>2</xdr:col>
      <xdr:colOff>4025053</xdr:colOff>
      <xdr:row>11</xdr:row>
      <xdr:rowOff>321613</xdr:rowOff>
    </xdr:from>
    <xdr:to>
      <xdr:col>2</xdr:col>
      <xdr:colOff>4228342</xdr:colOff>
      <xdr:row>11</xdr:row>
      <xdr:rowOff>487728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xmlns="" id="{42118020-D09A-4F80-B328-740B78C026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46182" y="5051456"/>
          <a:ext cx="203289" cy="166115"/>
        </a:xfrm>
        <a:prstGeom prst="rect">
          <a:avLst/>
        </a:prstGeom>
      </xdr:spPr>
    </xdr:pic>
    <xdr:clientData/>
  </xdr:twoCellAnchor>
  <xdr:twoCellAnchor editAs="oneCell">
    <xdr:from>
      <xdr:col>7</xdr:col>
      <xdr:colOff>56039</xdr:colOff>
      <xdr:row>8</xdr:row>
      <xdr:rowOff>206970</xdr:rowOff>
    </xdr:from>
    <xdr:to>
      <xdr:col>11</xdr:col>
      <xdr:colOff>5445</xdr:colOff>
      <xdr:row>10</xdr:row>
      <xdr:rowOff>336246</xdr:rowOff>
    </xdr:to>
    <xdr:pic>
      <xdr:nvPicPr>
        <xdr:cNvPr id="10" name="Picture 9" descr="Logo&#10;&#10;Description automatically generated with medium confidence">
          <a:extLst>
            <a:ext uri="{FF2B5EF4-FFF2-40B4-BE49-F238E27FC236}">
              <a16:creationId xmlns:a16="http://schemas.microsoft.com/office/drawing/2014/main" xmlns="" id="{57469810-AA15-4E86-8698-F84A0B7D6A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868025" y="3951656"/>
          <a:ext cx="2050349" cy="733433"/>
        </a:xfrm>
        <a:prstGeom prst="rect">
          <a:avLst/>
        </a:prstGeom>
      </xdr:spPr>
    </xdr:pic>
    <xdr:clientData/>
  </xdr:twoCellAnchor>
  <xdr:twoCellAnchor editAs="oneCell">
    <xdr:from>
      <xdr:col>2</xdr:col>
      <xdr:colOff>1601635</xdr:colOff>
      <xdr:row>0</xdr:row>
      <xdr:rowOff>114977</xdr:rowOff>
    </xdr:from>
    <xdr:to>
      <xdr:col>2</xdr:col>
      <xdr:colOff>3728582</xdr:colOff>
      <xdr:row>0</xdr:row>
      <xdr:rowOff>652597</xdr:rowOff>
    </xdr:to>
    <xdr:pic>
      <xdr:nvPicPr>
        <xdr:cNvPr id="11" name="Graphic 10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xmlns="" id="{BF9346FE-DE6A-4A99-A2B9-6C9C465794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8"/>
            </a:ext>
          </a:extLst>
        </a:blip>
        <a:stretch>
          <a:fillRect/>
        </a:stretch>
      </xdr:blipFill>
      <xdr:spPr>
        <a:xfrm>
          <a:off x="1922764" y="114977"/>
          <a:ext cx="2126947" cy="537620"/>
        </a:xfrm>
        <a:prstGeom prst="rect">
          <a:avLst/>
        </a:prstGeom>
      </xdr:spPr>
    </xdr:pic>
    <xdr:clientData/>
  </xdr:twoCellAnchor>
  <xdr:oneCellAnchor>
    <xdr:from>
      <xdr:col>1</xdr:col>
      <xdr:colOff>132442</xdr:colOff>
      <xdr:row>9</xdr:row>
      <xdr:rowOff>124428</xdr:rowOff>
    </xdr:from>
    <xdr:ext cx="4868938" cy="448563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xmlns="" id="{DAA6E664-5B47-436B-9D53-5ABB08C712F5}"/>
            </a:ext>
          </a:extLst>
        </xdr:cNvPr>
        <xdr:cNvSpPr txBox="1"/>
      </xdr:nvSpPr>
      <xdr:spPr>
        <a:xfrm>
          <a:off x="235856" y="4288214"/>
          <a:ext cx="4868938" cy="448563"/>
        </a:xfrm>
        <a:prstGeom prst="round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x-none" sz="2000" b="1" baseline="0">
              <a:solidFill>
                <a:srgbClr val="363636"/>
              </a:solidFill>
              <a:latin typeface="Aptos" panose="020B0004020202020204" pitchFamily="34" charset="0"/>
              <a:ea typeface="Roboto Black" panose="02000000000000000000" pitchFamily="2" charset="0"/>
              <a:cs typeface="Roboto Black" panose="02000000000000000000" pitchFamily="2" charset="0"/>
            </a:rPr>
            <a:t>Here’s What Our Students Are Saying:</a:t>
          </a:r>
          <a:endParaRPr lang="en-GB" sz="2000" b="1">
            <a:solidFill>
              <a:srgbClr val="EC4C4C"/>
            </a:solidFill>
            <a:latin typeface="Aptos" panose="020B0004020202020204" pitchFamily="34" charset="0"/>
            <a:ea typeface="Roboto Black" panose="02000000000000000000" pitchFamily="2" charset="0"/>
            <a:cs typeface="Roboto Black" panose="02000000000000000000" pitchFamily="2" charset="0"/>
          </a:endParaRPr>
        </a:p>
      </xdr:txBody>
    </xdr:sp>
    <xdr:clientData/>
  </xdr:oneCellAnchor>
  <xdr:twoCellAnchor editAs="oneCell">
    <xdr:from>
      <xdr:col>3</xdr:col>
      <xdr:colOff>1</xdr:colOff>
      <xdr:row>0</xdr:row>
      <xdr:rowOff>0</xdr:rowOff>
    </xdr:from>
    <xdr:to>
      <xdr:col>5</xdr:col>
      <xdr:colOff>544287</xdr:colOff>
      <xdr:row>0</xdr:row>
      <xdr:rowOff>908086</xdr:rowOff>
    </xdr:to>
    <xdr:pic>
      <xdr:nvPicPr>
        <xdr:cNvPr id="13" name="Picture 1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xmlns="" id="{83FBAE31-D74F-4CA2-88C3-BCA399FCE6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118"/>
        <a:stretch/>
      </xdr:blipFill>
      <xdr:spPr>
        <a:xfrm>
          <a:off x="6242958" y="0"/>
          <a:ext cx="1828800" cy="908086"/>
        </a:xfrm>
        <a:prstGeom prst="roundRect">
          <a:avLst/>
        </a:prstGeom>
      </xdr:spPr>
    </xdr:pic>
    <xdr:clientData/>
  </xdr:twoCellAnchor>
  <xdr:twoCellAnchor>
    <xdr:from>
      <xdr:col>2</xdr:col>
      <xdr:colOff>1414462</xdr:colOff>
      <xdr:row>0</xdr:row>
      <xdr:rowOff>647699</xdr:rowOff>
    </xdr:from>
    <xdr:to>
      <xdr:col>2</xdr:col>
      <xdr:colOff>4019551</xdr:colOff>
      <xdr:row>3</xdr:row>
      <xdr:rowOff>85724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xmlns="" id="{4D549404-AC1E-49A7-B90D-265B72387750}"/>
            </a:ext>
          </a:extLst>
        </xdr:cNvPr>
        <xdr:cNvSpPr txBox="1"/>
      </xdr:nvSpPr>
      <xdr:spPr>
        <a:xfrm>
          <a:off x="1735591" y="647699"/>
          <a:ext cx="2605089" cy="4776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Helped </a:t>
          </a:r>
          <a:r>
            <a:rPr lang="en-US" sz="1100" b="1"/>
            <a:t>400,000+ </a:t>
          </a:r>
          <a:r>
            <a:rPr lang="en-US" sz="1100"/>
            <a:t>professionals upgrade their analytic skills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ndex_Match_Basics_Excel_Free_WorkBook_Xelplus%20lp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a60237486963a246/YouTube/YT_2018/YT_201806/Lookup_Pictures/Excel_Lookup_Pictures_XelPlus_Downloa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G/OneDrive/YouTube/YT_2018/YT_201807/Dependent_DropDown_Varying_Lengths/Excel_Dependent_Dropdown_Expandable_Exclude_Empty_XelPlu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re --&gt;"/>
      <sheetName val="INDEX MATCH"/>
    </sheetNames>
    <sheetDataSet>
      <sheetData sheetId="0" refreshError="1"/>
      <sheetData sheetId="1">
        <row r="36">
          <cell r="I36">
            <v>3</v>
          </cell>
        </row>
        <row r="37">
          <cell r="A37" t="str">
            <v>WenCaL</v>
          </cell>
          <cell r="B37" t="str">
            <v>Fightrr</v>
          </cell>
          <cell r="C37" t="str">
            <v>Commuta</v>
          </cell>
        </row>
        <row r="38">
          <cell r="A38" t="str">
            <v>Blend</v>
          </cell>
          <cell r="B38" t="str">
            <v>Kryptis</v>
          </cell>
          <cell r="C38" t="str">
            <v>Infic</v>
          </cell>
        </row>
        <row r="39">
          <cell r="A39" t="str">
            <v>Voltage</v>
          </cell>
          <cell r="B39" t="str">
            <v>Perino</v>
          </cell>
          <cell r="C39" t="str">
            <v>Accord</v>
          </cell>
        </row>
        <row r="40">
          <cell r="A40" t="str">
            <v>Inkly</v>
          </cell>
          <cell r="B40" t="str">
            <v>Five Labs</v>
          </cell>
          <cell r="C40" t="str">
            <v>Misty Wash</v>
          </cell>
        </row>
        <row r="41">
          <cell r="A41" t="str">
            <v>Sleops</v>
          </cell>
          <cell r="B41" t="str">
            <v>Twistrr</v>
          </cell>
          <cell r="C41" t="str">
            <v>Twenty20</v>
          </cell>
        </row>
        <row r="42">
          <cell r="A42" t="str">
            <v>Kind Ape</v>
          </cell>
          <cell r="B42" t="str">
            <v>Hackrr</v>
          </cell>
          <cell r="C42" t="str">
            <v>Tanox</v>
          </cell>
        </row>
        <row r="43">
          <cell r="A43" t="str">
            <v>Pet Feed</v>
          </cell>
          <cell r="B43" t="str">
            <v>Pes</v>
          </cell>
          <cell r="C43" t="str">
            <v>Minor Liar</v>
          </cell>
        </row>
        <row r="44">
          <cell r="A44" t="str">
            <v>Right App</v>
          </cell>
          <cell r="B44" t="str">
            <v>Baden</v>
          </cell>
          <cell r="C44" t="str">
            <v>Mosquit</v>
          </cell>
        </row>
        <row r="45">
          <cell r="A45" t="str">
            <v>Mirrrr</v>
          </cell>
          <cell r="B45" t="str">
            <v>Jellyfish</v>
          </cell>
          <cell r="C45" t="str">
            <v>Atmos</v>
          </cell>
        </row>
        <row r="46">
          <cell r="A46" t="str">
            <v>Halotot</v>
          </cell>
          <cell r="B46" t="str">
            <v>Aviatrr</v>
          </cell>
          <cell r="C46" t="str">
            <v>Scrap</v>
          </cell>
        </row>
        <row r="47">
          <cell r="A47" t="str">
            <v>Flowrrr</v>
          </cell>
          <cell r="B47" t="str">
            <v>deRamblr</v>
          </cell>
          <cell r="C47" t="str">
            <v>Motocyco</v>
          </cell>
        </row>
        <row r="48">
          <cell r="A48" t="str">
            <v>Silvrr</v>
          </cell>
          <cell r="B48" t="str">
            <v>Arcade</v>
          </cell>
          <cell r="C48" t="str">
            <v>Amplefio</v>
          </cell>
        </row>
        <row r="49">
          <cell r="A49" t="str">
            <v>Dasring</v>
          </cell>
          <cell r="B49" t="str">
            <v/>
          </cell>
          <cell r="C49" t="str">
            <v>Strex</v>
          </cell>
        </row>
        <row r="50">
          <cell r="A50" t="str">
            <v>Rehire</v>
          </cell>
          <cell r="B50" t="str">
            <v/>
          </cell>
          <cell r="C50" t="str">
            <v/>
          </cell>
        </row>
        <row r="51">
          <cell r="A51" t="str">
            <v>Didactic</v>
          </cell>
          <cell r="B51" t="str">
            <v/>
          </cell>
          <cell r="C51" t="str">
            <v/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"/>
      <sheetName val="Report"/>
      <sheetName val="Master"/>
    </sheetNames>
    <sheetDataSet>
      <sheetData sheetId="0"/>
      <sheetData sheetId="1">
        <row r="2">
          <cell r="C2" t="str">
            <v>Spain</v>
          </cell>
        </row>
      </sheetData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"/>
      <sheetName val="OFFSET"/>
      <sheetName val="Table"/>
      <sheetName val="Excel_Dependent_Dropdown_Expand"/>
    </sheetNames>
    <sheetDataSet>
      <sheetData sheetId="0"/>
      <sheetData sheetId="1"/>
      <sheetData sheetId="2">
        <row r="4">
          <cell r="A4" t="str">
            <v>Productivity</v>
          </cell>
          <cell r="B4" t="str">
            <v>Games</v>
          </cell>
          <cell r="C4" t="str">
            <v>Utility</v>
          </cell>
        </row>
      </sheetData>
      <sheetData sheetId="3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C4C4C"/>
    <pageSetUpPr fitToPage="1"/>
  </sheetPr>
  <dimension ref="A1:N21"/>
  <sheetViews>
    <sheetView showGridLines="0" zoomScale="85" zoomScaleNormal="85" workbookViewId="0">
      <selection activeCell="J1" sqref="J1"/>
    </sheetView>
  </sheetViews>
  <sheetFormatPr defaultColWidth="0" defaultRowHeight="0" customHeight="1" zeroHeight="1"/>
  <cols>
    <col min="1" max="1" width="1.44140625" style="1" customWidth="1"/>
    <col min="2" max="2" width="3.109375" style="1" customWidth="1"/>
    <col min="3" max="3" width="83.6640625" style="1" customWidth="1"/>
    <col min="4" max="10" width="9.109375" style="1" customWidth="1"/>
    <col min="11" max="11" width="2.44140625" style="1" customWidth="1"/>
    <col min="12" max="12" width="4.77734375" style="1" customWidth="1"/>
    <col min="13" max="13" width="0" style="1" hidden="1" customWidth="1"/>
    <col min="14" max="14" width="0" style="1" hidden="1"/>
    <col min="15" max="16383" width="9.109375" style="1" hidden="1"/>
    <col min="16384" max="16384" width="9.109375" style="1" hidden="1" customWidth="1"/>
  </cols>
  <sheetData>
    <row r="1" spans="3:12" ht="73.2" customHeight="1">
      <c r="C1" s="11"/>
    </row>
    <row r="2" spans="3:12" ht="6.75" customHeight="1">
      <c r="C2" s="12"/>
    </row>
    <row r="3" spans="3:12" ht="2.7" customHeight="1"/>
    <row r="4" spans="3:12" ht="35.4">
      <c r="C4" s="21" t="s">
        <v>83</v>
      </c>
      <c r="D4" s="21"/>
      <c r="E4" s="21"/>
      <c r="F4" s="21"/>
      <c r="G4" s="21"/>
      <c r="H4" s="21"/>
      <c r="I4" s="21"/>
      <c r="J4" s="21"/>
      <c r="K4" s="13"/>
      <c r="L4" s="13"/>
    </row>
    <row r="5" spans="3:12" s="14" customFormat="1" ht="116.25" customHeight="1">
      <c r="C5" s="22" t="s">
        <v>84</v>
      </c>
      <c r="D5" s="22"/>
      <c r="E5" s="22"/>
      <c r="F5" s="22"/>
      <c r="G5" s="22"/>
      <c r="H5" s="22"/>
      <c r="I5" s="22"/>
      <c r="J5" s="22"/>
    </row>
    <row r="6" spans="3:12" s="14" customFormat="1" ht="20.25" customHeight="1"/>
    <row r="7" spans="3:12" s="14" customFormat="1" ht="10.050000000000001" customHeight="1"/>
    <row r="8" spans="3:12" s="14" customFormat="1" ht="30" customHeight="1">
      <c r="C8" s="15"/>
    </row>
    <row r="9" spans="3:12" s="14" customFormat="1" ht="33" customHeight="1">
      <c r="C9" s="15"/>
    </row>
    <row r="10" spans="3:12" s="14" customFormat="1" ht="14.7" customHeight="1">
      <c r="C10" s="16"/>
      <c r="D10" s="17"/>
      <c r="E10" s="17"/>
    </row>
    <row r="11" spans="3:12" s="14" customFormat="1" ht="30" customHeight="1">
      <c r="C11" s="18"/>
    </row>
    <row r="12" spans="3:12" s="14" customFormat="1" ht="39.75" customHeight="1"/>
    <row r="13" spans="3:12" s="14" customFormat="1" ht="24.75" customHeight="1">
      <c r="C13" s="19"/>
    </row>
    <row r="14" spans="3:12" s="14" customFormat="1" ht="10.199999999999999" customHeight="1"/>
    <row r="15" spans="3:12" s="14" customFormat="1" ht="13.8">
      <c r="C15" s="15"/>
    </row>
    <row r="16" spans="3:12" s="14" customFormat="1" ht="13.8"/>
    <row r="17" spans="1:5" s="14" customFormat="1" ht="13.8"/>
    <row r="18" spans="1:5" s="14" customFormat="1" ht="13.8">
      <c r="C18" s="16"/>
      <c r="D18" s="17"/>
      <c r="E18" s="17"/>
    </row>
    <row r="19" spans="1:5" s="14" customFormat="1" ht="13.8">
      <c r="C19" s="16"/>
      <c r="D19" s="17"/>
      <c r="E19" s="17"/>
    </row>
    <row r="20" spans="1:5" s="14" customFormat="1" ht="16.5" customHeight="1">
      <c r="A20" s="16"/>
      <c r="B20" s="16"/>
      <c r="C20" s="16"/>
      <c r="D20" s="16"/>
      <c r="E20" s="16"/>
    </row>
    <row r="21" spans="1:5" s="20" customFormat="1" ht="13.8"/>
  </sheetData>
  <mergeCells count="2">
    <mergeCell ref="C4:J4"/>
    <mergeCell ref="C5:J5"/>
  </mergeCells>
  <pageMargins left="0.7" right="0.7" top="0.75" bottom="0.75" header="0.3" footer="0.3"/>
  <pageSetup paperSize="9" scale="5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/>
  </sheetViews>
  <sheetFormatPr defaultRowHeight="14.4"/>
  <cols>
    <col min="1" max="1" width="18.5546875" customWidth="1"/>
    <col min="2" max="2" width="17.44140625" customWidth="1"/>
  </cols>
  <sheetData>
    <row r="1" spans="1:2">
      <c r="A1" s="2" t="s">
        <v>72</v>
      </c>
    </row>
    <row r="3" spans="1:2" ht="15" thickBot="1">
      <c r="A3" s="3" t="s">
        <v>1</v>
      </c>
      <c r="B3" s="3" t="s">
        <v>71</v>
      </c>
    </row>
    <row r="4" spans="1:2" ht="15" thickTop="1">
      <c r="A4" t="s">
        <v>4</v>
      </c>
      <c r="B4" s="9" t="str">
        <f>_xlfn.XLOOKUP(A4,Master!$C$3:$C$33,Master!$A$3:$A$33)</f>
        <v>ID4</v>
      </c>
    </row>
    <row r="5" spans="1:2">
      <c r="A5" t="s">
        <v>7</v>
      </c>
      <c r="B5" s="9" t="str">
        <f>_xlfn.XLOOKUP(A5,Master!$C$3:$C$33,Master!$A$3:$A$33)</f>
        <v>ID18</v>
      </c>
    </row>
    <row r="6" spans="1:2">
      <c r="A6" t="s">
        <v>10</v>
      </c>
      <c r="B6" s="9" t="str">
        <f>_xlfn.XLOOKUP(A6,Master!$C$3:$C$33,Master!$A$3:$A$33)</f>
        <v>ID12</v>
      </c>
    </row>
    <row r="7" spans="1:2">
      <c r="A7" t="s">
        <v>13</v>
      </c>
      <c r="B7" s="9" t="str">
        <f>_xlfn.XLOOKUP(A7,Master!$C$3:$C$33,Master!$A$3:$A$33)</f>
        <v>ID8</v>
      </c>
    </row>
    <row r="8" spans="1:2">
      <c r="A8" t="s">
        <v>15</v>
      </c>
      <c r="B8" s="9" t="str">
        <f>_xlfn.XLOOKUP(A8,Master!$C$3:$C$33,Master!$A$3:$A$33)</f>
        <v>ID20</v>
      </c>
    </row>
    <row r="9" spans="1:2">
      <c r="A9" t="s">
        <v>18</v>
      </c>
      <c r="B9" s="9" t="str">
        <f>_xlfn.XLOOKUP(A9,Master!$C$3:$C$33,Master!$A$3:$A$33)</f>
        <v>ID24</v>
      </c>
    </row>
    <row r="10" spans="1:2">
      <c r="A10" t="s">
        <v>19</v>
      </c>
      <c r="B10" s="9" t="str">
        <f>_xlfn.XLOOKUP(A10,Master!$C$3:$C$33,Master!$A$3:$A$33)</f>
        <v>ID23</v>
      </c>
    </row>
    <row r="11" spans="1:2">
      <c r="A11" t="s">
        <v>21</v>
      </c>
      <c r="B11" s="9" t="str">
        <f>_xlfn.XLOOKUP(A11,Master!$C$3:$C$33,Master!$A$3:$A$33)</f>
        <v>ID3</v>
      </c>
    </row>
    <row r="12" spans="1:2">
      <c r="A12" t="s">
        <v>24</v>
      </c>
      <c r="B12" s="9" t="str">
        <f>_xlfn.XLOOKUP(A12,Master!$C$3:$C$33,Master!$A$3:$A$33)</f>
        <v>ID13</v>
      </c>
    </row>
    <row r="13" spans="1:2">
      <c r="A13" t="s">
        <v>26</v>
      </c>
      <c r="B13" s="9" t="str">
        <f>_xlfn.XLOOKUP(A13,Master!$C$3:$C$33,Master!$A$3:$A$33)</f>
        <v>ID7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33"/>
  <sheetViews>
    <sheetView workbookViewId="0">
      <selection activeCell="B2" sqref="B2"/>
    </sheetView>
  </sheetViews>
  <sheetFormatPr defaultRowHeight="14.4"/>
  <cols>
    <col min="1" max="1" width="11" bestFit="1" customWidth="1"/>
    <col min="2" max="2" width="14.21875" customWidth="1"/>
    <col min="3" max="3" width="15.33203125" customWidth="1"/>
  </cols>
  <sheetData>
    <row r="2" spans="1:3" ht="15" thickBot="1">
      <c r="A2" s="3" t="s">
        <v>0</v>
      </c>
      <c r="B2" s="3" t="s">
        <v>67</v>
      </c>
      <c r="C2" s="3" t="s">
        <v>1</v>
      </c>
    </row>
    <row r="3" spans="1:3" ht="15" thickTop="1">
      <c r="A3" t="s">
        <v>6</v>
      </c>
      <c r="B3" t="s">
        <v>69</v>
      </c>
      <c r="C3" t="s">
        <v>7</v>
      </c>
    </row>
    <row r="4" spans="1:3">
      <c r="A4" t="s">
        <v>12</v>
      </c>
      <c r="B4" t="s">
        <v>69</v>
      </c>
      <c r="C4" t="s">
        <v>13</v>
      </c>
    </row>
    <row r="5" spans="1:3">
      <c r="A5" t="s">
        <v>17</v>
      </c>
      <c r="B5" t="s">
        <v>69</v>
      </c>
      <c r="C5" t="s">
        <v>18</v>
      </c>
    </row>
    <row r="6" spans="1:3">
      <c r="A6" t="s">
        <v>14</v>
      </c>
      <c r="B6" t="s">
        <v>69</v>
      </c>
      <c r="C6" t="s">
        <v>19</v>
      </c>
    </row>
    <row r="7" spans="1:3">
      <c r="A7" t="s">
        <v>23</v>
      </c>
      <c r="B7" t="s">
        <v>69</v>
      </c>
      <c r="C7" t="s">
        <v>24</v>
      </c>
    </row>
    <row r="8" spans="1:3">
      <c r="A8" t="s">
        <v>25</v>
      </c>
      <c r="B8" t="s">
        <v>69</v>
      </c>
      <c r="C8" t="s">
        <v>26</v>
      </c>
    </row>
    <row r="9" spans="1:3">
      <c r="A9" t="s">
        <v>29</v>
      </c>
      <c r="B9" t="s">
        <v>69</v>
      </c>
      <c r="C9" t="s">
        <v>30</v>
      </c>
    </row>
    <row r="10" spans="1:3">
      <c r="A10" t="s">
        <v>41</v>
      </c>
      <c r="B10" t="s">
        <v>69</v>
      </c>
      <c r="C10" t="s">
        <v>42</v>
      </c>
    </row>
    <row r="11" spans="1:3">
      <c r="A11" t="s">
        <v>43</v>
      </c>
      <c r="B11" t="s">
        <v>69</v>
      </c>
      <c r="C11" t="s">
        <v>44</v>
      </c>
    </row>
    <row r="12" spans="1:3">
      <c r="A12" t="s">
        <v>52</v>
      </c>
      <c r="B12" t="s">
        <v>69</v>
      </c>
      <c r="C12" t="s">
        <v>53</v>
      </c>
    </row>
    <row r="13" spans="1:3">
      <c r="A13" t="s">
        <v>54</v>
      </c>
      <c r="B13" t="s">
        <v>69</v>
      </c>
      <c r="C13" t="s">
        <v>55</v>
      </c>
    </row>
    <row r="14" spans="1:3">
      <c r="A14" t="s">
        <v>58</v>
      </c>
      <c r="B14" t="s">
        <v>69</v>
      </c>
      <c r="C14" t="s">
        <v>59</v>
      </c>
    </row>
    <row r="15" spans="1:3">
      <c r="A15" t="s">
        <v>8</v>
      </c>
      <c r="B15" t="s">
        <v>69</v>
      </c>
      <c r="C15" t="s">
        <v>62</v>
      </c>
    </row>
    <row r="16" spans="1:3">
      <c r="A16" t="s">
        <v>20</v>
      </c>
      <c r="B16" t="s">
        <v>70</v>
      </c>
      <c r="C16" t="s">
        <v>21</v>
      </c>
    </row>
    <row r="17" spans="1:3">
      <c r="A17" t="s">
        <v>27</v>
      </c>
      <c r="B17" t="s">
        <v>70</v>
      </c>
      <c r="C17" t="s">
        <v>28</v>
      </c>
    </row>
    <row r="18" spans="1:3">
      <c r="A18" t="s">
        <v>31</v>
      </c>
      <c r="B18" t="s">
        <v>70</v>
      </c>
      <c r="C18" t="s">
        <v>32</v>
      </c>
    </row>
    <row r="19" spans="1:3">
      <c r="A19" t="s">
        <v>35</v>
      </c>
      <c r="B19" t="s">
        <v>70</v>
      </c>
      <c r="C19" t="s">
        <v>36</v>
      </c>
    </row>
    <row r="20" spans="1:3">
      <c r="A20" t="s">
        <v>39</v>
      </c>
      <c r="B20" t="s">
        <v>70</v>
      </c>
      <c r="C20" t="s">
        <v>40</v>
      </c>
    </row>
    <row r="21" spans="1:3">
      <c r="A21" t="s">
        <v>22</v>
      </c>
      <c r="B21" t="s">
        <v>70</v>
      </c>
      <c r="C21" t="s">
        <v>61</v>
      </c>
    </row>
    <row r="22" spans="1:3">
      <c r="A22" t="s">
        <v>3</v>
      </c>
      <c r="B22" t="s">
        <v>68</v>
      </c>
      <c r="C22" t="s">
        <v>4</v>
      </c>
    </row>
    <row r="23" spans="1:3">
      <c r="A23" t="s">
        <v>9</v>
      </c>
      <c r="B23" t="s">
        <v>68</v>
      </c>
      <c r="C23" t="s">
        <v>10</v>
      </c>
    </row>
    <row r="24" spans="1:3">
      <c r="A24" t="s">
        <v>11</v>
      </c>
      <c r="B24" t="s">
        <v>68</v>
      </c>
      <c r="C24" t="s">
        <v>15</v>
      </c>
    </row>
    <row r="25" spans="1:3">
      <c r="A25" t="s">
        <v>33</v>
      </c>
      <c r="B25" t="s">
        <v>68</v>
      </c>
      <c r="C25" t="s">
        <v>34</v>
      </c>
    </row>
    <row r="26" spans="1:3">
      <c r="A26" t="s">
        <v>37</v>
      </c>
      <c r="B26" t="s">
        <v>68</v>
      </c>
      <c r="C26" t="s">
        <v>38</v>
      </c>
    </row>
    <row r="27" spans="1:3">
      <c r="A27" t="s">
        <v>16</v>
      </c>
      <c r="B27" t="s">
        <v>68</v>
      </c>
      <c r="C27" t="s">
        <v>45</v>
      </c>
    </row>
    <row r="28" spans="1:3">
      <c r="A28" t="s">
        <v>46</v>
      </c>
      <c r="B28" t="s">
        <v>68</v>
      </c>
      <c r="C28" t="s">
        <v>47</v>
      </c>
    </row>
    <row r="29" spans="1:3">
      <c r="A29" t="s">
        <v>48</v>
      </c>
      <c r="B29" t="s">
        <v>68</v>
      </c>
      <c r="C29" t="s">
        <v>49</v>
      </c>
    </row>
    <row r="30" spans="1:3">
      <c r="A30" t="s">
        <v>50</v>
      </c>
      <c r="B30" t="s">
        <v>68</v>
      </c>
      <c r="C30" t="s">
        <v>51</v>
      </c>
    </row>
    <row r="31" spans="1:3">
      <c r="A31" t="s">
        <v>56</v>
      </c>
      <c r="B31" t="s">
        <v>68</v>
      </c>
      <c r="C31" t="s">
        <v>57</v>
      </c>
    </row>
    <row r="32" spans="1:3">
      <c r="A32" t="s">
        <v>5</v>
      </c>
      <c r="B32" t="s">
        <v>68</v>
      </c>
      <c r="C32" t="s">
        <v>60</v>
      </c>
    </row>
    <row r="33" spans="1:3">
      <c r="A33" t="s">
        <v>63</v>
      </c>
      <c r="B33" t="s">
        <v>68</v>
      </c>
      <c r="C33" t="s">
        <v>64</v>
      </c>
    </row>
  </sheetData>
  <sortState ref="A3:C33">
    <sortCondition descending="1" ref="B3"/>
  </sortState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1:G20"/>
  <sheetViews>
    <sheetView workbookViewId="0">
      <selection activeCell="C4" sqref="C4"/>
    </sheetView>
  </sheetViews>
  <sheetFormatPr defaultRowHeight="14.4"/>
  <cols>
    <col min="1" max="1" width="13.88671875" customWidth="1"/>
    <col min="2" max="2" width="11.109375" bestFit="1" customWidth="1"/>
    <col min="3" max="3" width="9.6640625" bestFit="1" customWidth="1"/>
    <col min="4" max="4" width="12.21875" customWidth="1"/>
    <col min="5" max="5" width="10.21875" customWidth="1"/>
    <col min="7" max="7" width="13.33203125" customWidth="1"/>
  </cols>
  <sheetData>
    <row r="1" spans="1:7">
      <c r="A1" s="2" t="s">
        <v>82</v>
      </c>
    </row>
    <row r="2" spans="1:7" ht="15" thickBot="1">
      <c r="A2" s="3" t="s">
        <v>1</v>
      </c>
      <c r="B2" s="3" t="s">
        <v>2</v>
      </c>
      <c r="C2" s="3" t="s">
        <v>79</v>
      </c>
      <c r="D2" s="3" t="s">
        <v>80</v>
      </c>
      <c r="E2" s="3" t="s">
        <v>81</v>
      </c>
    </row>
    <row r="3" spans="1:7" ht="15" thickTop="1">
      <c r="A3" t="s">
        <v>4</v>
      </c>
      <c r="B3" s="4">
        <v>60270</v>
      </c>
      <c r="C3" s="4">
        <f>_xlfn.XLOOKUP(A3,B_Master!$C$4:$C$28,B_Master!$B$4:$B$28,0)*B3</f>
        <v>14464.8</v>
      </c>
      <c r="D3" s="10">
        <f>B3+C3</f>
        <v>74734.8</v>
      </c>
      <c r="E3" s="4">
        <f>_xlfn.XLOOKUP(B3,B_Master!$E$13:$E$17,B_Master!$F$13:$F$17,,-1)*B3</f>
        <v>6027</v>
      </c>
      <c r="G3" s="9" t="s">
        <v>18</v>
      </c>
    </row>
    <row r="4" spans="1:7">
      <c r="A4" t="s">
        <v>7</v>
      </c>
      <c r="B4" s="4">
        <v>39627</v>
      </c>
      <c r="C4" s="4">
        <f>_xlfn.XLOOKUP(A4,B_Master!$C$4:$C$28,B_Master!$B$4:$B$28,0)*B4</f>
        <v>0</v>
      </c>
      <c r="D4" s="10">
        <f t="shared" ref="D4:D20" si="0">B4+C4</f>
        <v>39627</v>
      </c>
      <c r="E4" s="4">
        <f>_xlfn.XLOOKUP(B4,B_Master!$E$13:$E$17,B_Master!$F$13:$F$17,,-1)*B4</f>
        <v>1981.3500000000001</v>
      </c>
      <c r="G4" s="9" t="s">
        <v>80</v>
      </c>
    </row>
    <row r="5" spans="1:7">
      <c r="A5" t="s">
        <v>10</v>
      </c>
      <c r="B5" s="4">
        <v>29726</v>
      </c>
      <c r="C5" s="4">
        <f>_xlfn.XLOOKUP(A5,B_Master!$C$4:$C$28,B_Master!$B$4:$B$28,0)*B5</f>
        <v>4161.6400000000003</v>
      </c>
      <c r="D5" s="10">
        <f t="shared" si="0"/>
        <v>33887.64</v>
      </c>
      <c r="E5" s="4">
        <f>_xlfn.XLOOKUP(B5,B_Master!$E$13:$E$17,B_Master!$F$13:$F$17,,-1)*B5</f>
        <v>0</v>
      </c>
      <c r="G5" s="4" cm="1">
        <f t="array" ref="G5">_xlfn.XLOOKUP(G3,A3:A20,_xlfn.XLOOKUP(G4,B2:D2,B3:D20))</f>
        <v>38288.800000000003</v>
      </c>
    </row>
    <row r="6" spans="1:7">
      <c r="A6" t="s">
        <v>13</v>
      </c>
      <c r="B6" s="4">
        <v>93668</v>
      </c>
      <c r="C6" s="4">
        <f>_xlfn.XLOOKUP(A6,B_Master!$C$4:$C$28,B_Master!$B$4:$B$28,0)*B6</f>
        <v>21543.64</v>
      </c>
      <c r="D6" s="10">
        <f t="shared" si="0"/>
        <v>115211.64</v>
      </c>
      <c r="E6" s="4">
        <f>_xlfn.XLOOKUP(B6,B_Master!$E$13:$E$17,B_Master!$F$13:$F$17,,-1)*B6</f>
        <v>9366.8000000000011</v>
      </c>
    </row>
    <row r="7" spans="1:7">
      <c r="A7" t="s">
        <v>15</v>
      </c>
      <c r="B7" s="4">
        <v>134000</v>
      </c>
      <c r="C7" s="4">
        <f>_xlfn.XLOOKUP(A7,B_Master!$C$4:$C$28,B_Master!$B$4:$B$28,0)*B7</f>
        <v>33500</v>
      </c>
      <c r="D7" s="10">
        <f t="shared" si="0"/>
        <v>167500</v>
      </c>
      <c r="E7" s="4">
        <f>_xlfn.XLOOKUP(B7,B_Master!$E$13:$E$17,B_Master!$F$13:$F$17,,-1)*B7</f>
        <v>20100</v>
      </c>
    </row>
    <row r="8" spans="1:7">
      <c r="A8" t="s">
        <v>18</v>
      </c>
      <c r="B8" s="4">
        <v>34808</v>
      </c>
      <c r="C8" s="4">
        <f>_xlfn.XLOOKUP(A8,B_Master!$C$4:$C$28,B_Master!$B$4:$B$28,0)*B8</f>
        <v>3480.8</v>
      </c>
      <c r="D8" s="10">
        <f t="shared" si="0"/>
        <v>38288.800000000003</v>
      </c>
      <c r="E8" s="4">
        <f>_xlfn.XLOOKUP(B8,B_Master!$E$13:$E$17,B_Master!$F$13:$F$17,,-1)*B8</f>
        <v>1740.4</v>
      </c>
    </row>
    <row r="9" spans="1:7">
      <c r="A9" t="s">
        <v>19</v>
      </c>
      <c r="B9" s="4">
        <v>135000</v>
      </c>
      <c r="C9" s="4">
        <f>_xlfn.XLOOKUP(A9,B_Master!$C$4:$C$28,B_Master!$B$4:$B$28,0)*B9</f>
        <v>0</v>
      </c>
      <c r="D9" s="10">
        <f t="shared" si="0"/>
        <v>135000</v>
      </c>
      <c r="E9" s="4">
        <f>_xlfn.XLOOKUP(B9,B_Master!$E$13:$E$17,B_Master!$F$13:$F$17,,-1)*B9</f>
        <v>20250</v>
      </c>
    </row>
    <row r="10" spans="1:7">
      <c r="A10" t="s">
        <v>21</v>
      </c>
      <c r="B10" s="4">
        <v>45000</v>
      </c>
      <c r="C10" s="4">
        <f>_xlfn.XLOOKUP(A10,B_Master!$C$4:$C$28,B_Master!$B$4:$B$28,0)*B10</f>
        <v>4500</v>
      </c>
      <c r="D10" s="10">
        <f t="shared" si="0"/>
        <v>49500</v>
      </c>
      <c r="E10" s="4">
        <f>_xlfn.XLOOKUP(B10,B_Master!$E$13:$E$17,B_Master!$F$13:$F$17,,-1)*B10</f>
        <v>2250</v>
      </c>
    </row>
    <row r="11" spans="1:7">
      <c r="A11" t="s">
        <v>24</v>
      </c>
      <c r="B11" s="4">
        <v>89500</v>
      </c>
      <c r="C11" s="4">
        <f>_xlfn.XLOOKUP(A11,B_Master!$C$4:$C$28,B_Master!$B$4:$B$28,0)*B11</f>
        <v>7160</v>
      </c>
      <c r="D11" s="10">
        <f t="shared" si="0"/>
        <v>96660</v>
      </c>
      <c r="E11" s="4">
        <f>_xlfn.XLOOKUP(B11,B_Master!$E$13:$E$17,B_Master!$F$13:$F$17,,-1)*B11</f>
        <v>8950</v>
      </c>
    </row>
    <row r="12" spans="1:7">
      <c r="A12" t="s">
        <v>26</v>
      </c>
      <c r="B12" s="4">
        <v>21971</v>
      </c>
      <c r="C12" s="4">
        <f>_xlfn.XLOOKUP(A12,B_Master!$C$4:$C$28,B_Master!$B$4:$B$28,0)*B12</f>
        <v>5932.17</v>
      </c>
      <c r="D12" s="10">
        <f t="shared" si="0"/>
        <v>27903.17</v>
      </c>
      <c r="E12" s="4">
        <f>_xlfn.XLOOKUP(B12,B_Master!$E$13:$E$17,B_Master!$F$13:$F$17,,-1)*B12</f>
        <v>0</v>
      </c>
    </row>
    <row r="13" spans="1:7">
      <c r="A13" t="s">
        <v>28</v>
      </c>
      <c r="B13" s="4">
        <v>80000</v>
      </c>
      <c r="C13" s="4">
        <f>_xlfn.XLOOKUP(A13,B_Master!$C$4:$C$28,B_Master!$B$4:$B$28,0)*B13</f>
        <v>14400</v>
      </c>
      <c r="D13" s="10">
        <f t="shared" si="0"/>
        <v>94400</v>
      </c>
      <c r="E13" s="4">
        <f>_xlfn.XLOOKUP(B13,B_Master!$E$13:$E$17,B_Master!$F$13:$F$17,,-1)*B13</f>
        <v>8000</v>
      </c>
    </row>
    <row r="14" spans="1:7">
      <c r="A14" t="s">
        <v>30</v>
      </c>
      <c r="B14" s="4">
        <v>45117</v>
      </c>
      <c r="C14" s="4">
        <f>_xlfn.XLOOKUP(A14,B_Master!$C$4:$C$28,B_Master!$B$4:$B$28,0)*B14</f>
        <v>6316.380000000001</v>
      </c>
      <c r="D14" s="10">
        <f t="shared" si="0"/>
        <v>51433.380000000005</v>
      </c>
      <c r="E14" s="4">
        <f>_xlfn.XLOOKUP(B14,B_Master!$E$13:$E$17,B_Master!$F$13:$F$17,,-1)*B14</f>
        <v>2255.85</v>
      </c>
    </row>
    <row r="15" spans="1:7">
      <c r="A15" t="s">
        <v>32</v>
      </c>
      <c r="B15" s="4">
        <v>50545</v>
      </c>
      <c r="C15" s="4">
        <f>_xlfn.XLOOKUP(A15,B_Master!$C$4:$C$28,B_Master!$B$4:$B$28,0)*B15</f>
        <v>0</v>
      </c>
      <c r="D15" s="10">
        <f t="shared" si="0"/>
        <v>50545</v>
      </c>
      <c r="E15" s="4">
        <f>_xlfn.XLOOKUP(B15,B_Master!$E$13:$E$17,B_Master!$F$13:$F$17,,-1)*B15</f>
        <v>4043.6</v>
      </c>
    </row>
    <row r="16" spans="1:7">
      <c r="A16" t="s">
        <v>34</v>
      </c>
      <c r="B16" s="4">
        <v>140000</v>
      </c>
      <c r="C16" s="4">
        <f>_xlfn.XLOOKUP(A16,B_Master!$C$4:$C$28,B_Master!$B$4:$B$28,0)*B16</f>
        <v>0</v>
      </c>
      <c r="D16" s="10">
        <f t="shared" si="0"/>
        <v>140000</v>
      </c>
      <c r="E16" s="4">
        <f>_xlfn.XLOOKUP(B16,B_Master!$E$13:$E$17,B_Master!$F$13:$F$17,,-1)*B16</f>
        <v>21000</v>
      </c>
    </row>
    <row r="17" spans="1:5">
      <c r="A17" t="s">
        <v>36</v>
      </c>
      <c r="B17" s="4">
        <v>110000</v>
      </c>
      <c r="C17" s="4">
        <f>_xlfn.XLOOKUP(A17,B_Master!$C$4:$C$28,B_Master!$B$4:$B$28,0)*B17</f>
        <v>9900</v>
      </c>
      <c r="D17" s="10">
        <f t="shared" si="0"/>
        <v>119900</v>
      </c>
      <c r="E17" s="4">
        <f>_xlfn.XLOOKUP(B17,B_Master!$E$13:$E$17,B_Master!$F$13:$F$17,,-1)*B17</f>
        <v>16500</v>
      </c>
    </row>
    <row r="18" spans="1:5">
      <c r="A18" t="s">
        <v>38</v>
      </c>
      <c r="B18" s="4">
        <v>68357</v>
      </c>
      <c r="C18" s="4">
        <f>_xlfn.XLOOKUP(A18,B_Master!$C$4:$C$28,B_Master!$B$4:$B$28,0)*B18</f>
        <v>17089.25</v>
      </c>
      <c r="D18" s="10">
        <f t="shared" si="0"/>
        <v>85446.25</v>
      </c>
      <c r="E18" s="4">
        <f>_xlfn.XLOOKUP(B18,B_Master!$E$13:$E$17,B_Master!$F$13:$F$17,,-1)*B18</f>
        <v>6835.7000000000007</v>
      </c>
    </row>
    <row r="19" spans="1:5">
      <c r="A19" t="s">
        <v>40</v>
      </c>
      <c r="B19" s="4">
        <v>51800</v>
      </c>
      <c r="C19" s="4">
        <f>_xlfn.XLOOKUP(A19,B_Master!$C$4:$C$28,B_Master!$B$4:$B$28,0)*B19</f>
        <v>9842</v>
      </c>
      <c r="D19" s="10">
        <f t="shared" si="0"/>
        <v>61642</v>
      </c>
      <c r="E19" s="4">
        <f>_xlfn.XLOOKUP(B19,B_Master!$E$13:$E$17,B_Master!$F$13:$F$17,,-1)*B19</f>
        <v>4144</v>
      </c>
    </row>
    <row r="20" spans="1:5">
      <c r="A20" t="s">
        <v>42</v>
      </c>
      <c r="B20" s="4">
        <v>97000</v>
      </c>
      <c r="C20" s="4">
        <f>_xlfn.XLOOKUP(A20,B_Master!$C$4:$C$28,B_Master!$B$4:$B$28,0)*B20</f>
        <v>8730</v>
      </c>
      <c r="D20" s="10">
        <f t="shared" si="0"/>
        <v>105730</v>
      </c>
      <c r="E20" s="4">
        <f>_xlfn.XLOOKUP(B20,B_Master!$E$13:$E$17,B_Master!$F$13:$F$17,,-1)*B20</f>
        <v>9700</v>
      </c>
    </row>
  </sheetData>
  <dataValidations count="2">
    <dataValidation type="list" allowBlank="1" showInputMessage="1" showErrorMessage="1" sqref="G3">
      <formula1>$A$3:$A$20</formula1>
    </dataValidation>
    <dataValidation type="list" allowBlank="1" showInputMessage="1" showErrorMessage="1" sqref="G4">
      <formula1>$B$2:$D$2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8"/>
  <sheetViews>
    <sheetView tabSelected="1" topLeftCell="A7" workbookViewId="0">
      <selection activeCell="K17" sqref="K17"/>
    </sheetView>
  </sheetViews>
  <sheetFormatPr defaultRowHeight="14.4"/>
  <cols>
    <col min="1" max="1" width="9.5546875" customWidth="1"/>
    <col min="2" max="2" width="7.6640625" customWidth="1"/>
    <col min="3" max="3" width="17.88671875" customWidth="1"/>
    <col min="5" max="5" width="18.44140625" customWidth="1"/>
    <col min="6" max="31" width="9.109375" customWidth="1"/>
  </cols>
  <sheetData>
    <row r="1" spans="1:30">
      <c r="A1" s="2" t="s">
        <v>74</v>
      </c>
      <c r="E1" s="2" t="s">
        <v>75</v>
      </c>
    </row>
    <row r="2" spans="1:30">
      <c r="A2" s="2"/>
    </row>
    <row r="3" spans="1:30" ht="15" thickBot="1">
      <c r="A3" s="5" t="s">
        <v>66</v>
      </c>
      <c r="B3" s="3" t="s">
        <v>65</v>
      </c>
      <c r="C3" s="5" t="s">
        <v>73</v>
      </c>
      <c r="E3" s="5" t="s">
        <v>66</v>
      </c>
      <c r="F3" t="s">
        <v>25</v>
      </c>
      <c r="G3" t="s">
        <v>11</v>
      </c>
      <c r="H3" t="s">
        <v>37</v>
      </c>
      <c r="I3" t="s">
        <v>56</v>
      </c>
      <c r="J3" t="s">
        <v>8</v>
      </c>
      <c r="K3" t="s">
        <v>3</v>
      </c>
      <c r="L3" t="s">
        <v>58</v>
      </c>
      <c r="M3" t="s">
        <v>12</v>
      </c>
      <c r="N3" t="s">
        <v>52</v>
      </c>
      <c r="O3" t="s">
        <v>16</v>
      </c>
      <c r="P3" t="s">
        <v>50</v>
      </c>
      <c r="Q3" t="s">
        <v>39</v>
      </c>
      <c r="R3" t="s">
        <v>27</v>
      </c>
      <c r="S3" t="s">
        <v>22</v>
      </c>
      <c r="T3" t="s">
        <v>46</v>
      </c>
      <c r="U3" t="s">
        <v>9</v>
      </c>
      <c r="V3" t="s">
        <v>29</v>
      </c>
      <c r="W3" t="s">
        <v>17</v>
      </c>
      <c r="X3" t="s">
        <v>20</v>
      </c>
      <c r="Y3" t="s">
        <v>35</v>
      </c>
      <c r="Z3" t="s">
        <v>41</v>
      </c>
      <c r="AA3" t="s">
        <v>23</v>
      </c>
      <c r="AB3" t="s">
        <v>43</v>
      </c>
      <c r="AC3" t="s">
        <v>54</v>
      </c>
      <c r="AD3" t="s">
        <v>63</v>
      </c>
    </row>
    <row r="4" spans="1:30" ht="15.6" thickTop="1" thickBot="1">
      <c r="A4" t="s">
        <v>25</v>
      </c>
      <c r="B4" s="6">
        <v>0.27</v>
      </c>
      <c r="C4" t="s">
        <v>26</v>
      </c>
      <c r="E4" s="3" t="s">
        <v>65</v>
      </c>
      <c r="F4" s="6">
        <v>0.27</v>
      </c>
      <c r="G4" s="6">
        <v>0.25</v>
      </c>
      <c r="H4" s="6">
        <v>0.25</v>
      </c>
      <c r="I4" s="6">
        <v>0.25</v>
      </c>
      <c r="J4" s="6">
        <v>0.25</v>
      </c>
      <c r="K4" s="6">
        <v>0.24</v>
      </c>
      <c r="L4" s="6">
        <v>0.24</v>
      </c>
      <c r="M4" s="6">
        <v>0.23</v>
      </c>
      <c r="N4" s="6">
        <v>0.23</v>
      </c>
      <c r="O4" s="6">
        <v>0.21</v>
      </c>
      <c r="P4" s="6">
        <v>0.2</v>
      </c>
      <c r="Q4" s="6">
        <v>0.19</v>
      </c>
      <c r="R4" s="6">
        <v>0.18</v>
      </c>
      <c r="S4" s="6">
        <v>0.18</v>
      </c>
      <c r="T4" s="6">
        <v>0.17</v>
      </c>
      <c r="U4" s="6">
        <v>0.14000000000000001</v>
      </c>
      <c r="V4" s="6">
        <v>0.14000000000000001</v>
      </c>
      <c r="W4" s="6">
        <v>0.1</v>
      </c>
      <c r="X4" s="6">
        <v>0.1</v>
      </c>
      <c r="Y4" s="6">
        <v>0.09</v>
      </c>
      <c r="Z4" s="6">
        <v>0.09</v>
      </c>
      <c r="AA4" s="6">
        <v>0.08</v>
      </c>
      <c r="AB4" s="6">
        <v>0.06</v>
      </c>
      <c r="AC4" s="6">
        <v>0.06</v>
      </c>
      <c r="AD4" s="6">
        <v>0.06</v>
      </c>
    </row>
    <row r="5" spans="1:30" ht="15.6" thickTop="1" thickBot="1">
      <c r="A5" t="s">
        <v>11</v>
      </c>
      <c r="B5" s="6">
        <v>0.25</v>
      </c>
      <c r="C5" t="s">
        <v>15</v>
      </c>
      <c r="E5" s="5" t="s">
        <v>73</v>
      </c>
      <c r="F5" t="s">
        <v>26</v>
      </c>
      <c r="G5" t="s">
        <v>15</v>
      </c>
      <c r="H5" t="s">
        <v>38</v>
      </c>
      <c r="I5" t="s">
        <v>57</v>
      </c>
      <c r="J5" t="s">
        <v>62</v>
      </c>
      <c r="K5" t="s">
        <v>4</v>
      </c>
      <c r="L5" t="s">
        <v>59</v>
      </c>
      <c r="M5" t="s">
        <v>13</v>
      </c>
      <c r="N5" t="s">
        <v>53</v>
      </c>
      <c r="O5" t="s">
        <v>45</v>
      </c>
      <c r="P5" t="s">
        <v>51</v>
      </c>
      <c r="Q5" t="s">
        <v>40</v>
      </c>
      <c r="R5" t="s">
        <v>28</v>
      </c>
      <c r="S5" t="s">
        <v>61</v>
      </c>
      <c r="T5" t="s">
        <v>47</v>
      </c>
      <c r="U5" t="s">
        <v>10</v>
      </c>
      <c r="V5" t="s">
        <v>30</v>
      </c>
      <c r="W5" t="s">
        <v>18</v>
      </c>
      <c r="X5" t="s">
        <v>21</v>
      </c>
      <c r="Y5" t="s">
        <v>36</v>
      </c>
      <c r="Z5" t="s">
        <v>42</v>
      </c>
      <c r="AA5" t="s">
        <v>24</v>
      </c>
      <c r="AB5" t="s">
        <v>44</v>
      </c>
      <c r="AC5" t="s">
        <v>55</v>
      </c>
      <c r="AD5" t="s">
        <v>64</v>
      </c>
    </row>
    <row r="6" spans="1:30" ht="15" thickTop="1">
      <c r="A6" t="s">
        <v>37</v>
      </c>
      <c r="B6" s="6">
        <v>0.25</v>
      </c>
      <c r="C6" t="s">
        <v>38</v>
      </c>
    </row>
    <row r="7" spans="1:30">
      <c r="A7" t="s">
        <v>56</v>
      </c>
      <c r="B7" s="6">
        <v>0.25</v>
      </c>
      <c r="C7" t="s">
        <v>57</v>
      </c>
    </row>
    <row r="8" spans="1:30">
      <c r="A8" t="s">
        <v>8</v>
      </c>
      <c r="B8" s="6">
        <v>0.25</v>
      </c>
      <c r="C8" t="s">
        <v>62</v>
      </c>
    </row>
    <row r="9" spans="1:30">
      <c r="A9" t="s">
        <v>3</v>
      </c>
      <c r="B9" s="6">
        <v>0.24</v>
      </c>
      <c r="C9" t="s">
        <v>4</v>
      </c>
    </row>
    <row r="10" spans="1:30">
      <c r="A10" t="s">
        <v>58</v>
      </c>
      <c r="B10" s="6">
        <v>0.24</v>
      </c>
      <c r="C10" t="s">
        <v>59</v>
      </c>
      <c r="E10" s="2" t="s">
        <v>78</v>
      </c>
    </row>
    <row r="11" spans="1:30">
      <c r="A11" t="s">
        <v>12</v>
      </c>
      <c r="B11" s="6">
        <v>0.23</v>
      </c>
      <c r="C11" t="s">
        <v>13</v>
      </c>
    </row>
    <row r="12" spans="1:30" ht="15" thickBot="1">
      <c r="A12" t="s">
        <v>52</v>
      </c>
      <c r="B12" s="6">
        <v>0.23</v>
      </c>
      <c r="C12" t="s">
        <v>53</v>
      </c>
      <c r="E12" s="8" t="s">
        <v>76</v>
      </c>
      <c r="F12" s="8" t="s">
        <v>77</v>
      </c>
    </row>
    <row r="13" spans="1:30">
      <c r="A13" t="s">
        <v>16</v>
      </c>
      <c r="B13" s="6">
        <v>0.21</v>
      </c>
      <c r="C13" t="s">
        <v>45</v>
      </c>
      <c r="E13" s="7">
        <v>10000</v>
      </c>
      <c r="F13" s="6">
        <v>0</v>
      </c>
    </row>
    <row r="14" spans="1:30">
      <c r="A14" t="s">
        <v>50</v>
      </c>
      <c r="B14" s="6">
        <v>0.2</v>
      </c>
      <c r="C14" t="s">
        <v>51</v>
      </c>
      <c r="E14" s="4">
        <v>30000</v>
      </c>
      <c r="F14" s="6">
        <v>0.05</v>
      </c>
    </row>
    <row r="15" spans="1:30">
      <c r="A15" t="s">
        <v>39</v>
      </c>
      <c r="B15" s="6">
        <v>0.19</v>
      </c>
      <c r="C15" t="s">
        <v>40</v>
      </c>
      <c r="E15" s="4">
        <v>50000</v>
      </c>
      <c r="F15" s="6">
        <v>0.08</v>
      </c>
    </row>
    <row r="16" spans="1:30">
      <c r="A16" t="s">
        <v>27</v>
      </c>
      <c r="B16" s="6">
        <v>0.18</v>
      </c>
      <c r="C16" t="s">
        <v>28</v>
      </c>
      <c r="E16" s="4">
        <v>60000</v>
      </c>
      <c r="F16" s="6">
        <v>0.1</v>
      </c>
    </row>
    <row r="17" spans="1:6">
      <c r="A17" t="s">
        <v>22</v>
      </c>
      <c r="B17" s="6">
        <v>0.18</v>
      </c>
      <c r="C17" t="s">
        <v>61</v>
      </c>
      <c r="E17" s="4">
        <v>100000</v>
      </c>
      <c r="F17" s="6">
        <v>0.15</v>
      </c>
    </row>
    <row r="18" spans="1:6">
      <c r="A18" t="s">
        <v>46</v>
      </c>
      <c r="B18" s="6">
        <v>0.17</v>
      </c>
      <c r="C18" t="s">
        <v>47</v>
      </c>
    </row>
    <row r="19" spans="1:6">
      <c r="A19" t="s">
        <v>9</v>
      </c>
      <c r="B19" s="6">
        <v>0.14000000000000001</v>
      </c>
      <c r="C19" t="s">
        <v>10</v>
      </c>
    </row>
    <row r="20" spans="1:6">
      <c r="A20" t="s">
        <v>29</v>
      </c>
      <c r="B20" s="6">
        <v>0.14000000000000001</v>
      </c>
      <c r="C20" t="s">
        <v>30</v>
      </c>
    </row>
    <row r="21" spans="1:6">
      <c r="A21" t="s">
        <v>17</v>
      </c>
      <c r="B21" s="6">
        <v>0.1</v>
      </c>
      <c r="C21" t="s">
        <v>18</v>
      </c>
    </row>
    <row r="22" spans="1:6">
      <c r="A22" t="s">
        <v>20</v>
      </c>
      <c r="B22" s="6">
        <v>0.1</v>
      </c>
      <c r="C22" t="s">
        <v>21</v>
      </c>
    </row>
    <row r="23" spans="1:6">
      <c r="A23" t="s">
        <v>35</v>
      </c>
      <c r="B23" s="6">
        <v>0.09</v>
      </c>
      <c r="C23" t="s">
        <v>36</v>
      </c>
    </row>
    <row r="24" spans="1:6">
      <c r="A24" t="s">
        <v>41</v>
      </c>
      <c r="B24" s="6">
        <v>0.09</v>
      </c>
      <c r="C24" t="s">
        <v>42</v>
      </c>
    </row>
    <row r="25" spans="1:6">
      <c r="A25" t="s">
        <v>23</v>
      </c>
      <c r="B25" s="6">
        <v>0.08</v>
      </c>
      <c r="C25" t="s">
        <v>24</v>
      </c>
    </row>
    <row r="26" spans="1:6">
      <c r="A26" t="s">
        <v>43</v>
      </c>
      <c r="B26" s="6">
        <v>0.06</v>
      </c>
      <c r="C26" t="s">
        <v>44</v>
      </c>
    </row>
    <row r="27" spans="1:6">
      <c r="A27" t="s">
        <v>54</v>
      </c>
      <c r="B27" s="6">
        <v>0.06</v>
      </c>
      <c r="C27" t="s">
        <v>55</v>
      </c>
    </row>
    <row r="28" spans="1:6">
      <c r="A28" t="s">
        <v>63</v>
      </c>
      <c r="B28" s="6">
        <v>0.06</v>
      </c>
      <c r="C28" t="s">
        <v>64</v>
      </c>
    </row>
  </sheetData>
  <sortState ref="E13:F17">
    <sortCondition ref="E13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XelPlus Insider</vt:lpstr>
      <vt:lpstr>Basics</vt:lpstr>
      <vt:lpstr>Master</vt:lpstr>
      <vt:lpstr>Salary</vt:lpstr>
      <vt:lpstr>B_Master</vt:lpstr>
    </vt:vector>
  </TitlesOfParts>
  <Company>XelPlus.com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Leila Gharani</dc:creator>
  <dc:description>This workbook is the property of XelPlus.com</dc:description>
  <cp:lastModifiedBy>Mic</cp:lastModifiedBy>
  <dcterms:created xsi:type="dcterms:W3CDTF">2024-03-03T15:53:42Z</dcterms:created>
  <dcterms:modified xsi:type="dcterms:W3CDTF">2026-02-26T20:17:09Z</dcterms:modified>
</cp:coreProperties>
</file>