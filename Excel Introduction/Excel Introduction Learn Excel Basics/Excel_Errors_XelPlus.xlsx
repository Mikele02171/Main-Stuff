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120" yWindow="-120" windowWidth="29040" windowHeight="13176" activeTab="1"/>
  </bookViews>
  <sheets>
    <sheet name="More --&gt;" sheetId="2" r:id="rId1"/>
    <sheet name="1" sheetId="3" r:id="rId2"/>
    <sheet name="2" sheetId="4" r:id="rId3"/>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 i="3" l="1"/>
  <c r="I2" i="3"/>
  <c r="I3" i="3"/>
  <c r="F4" i="4"/>
  <c r="F5" i="4"/>
  <c r="F6" i="4"/>
  <c r="F7" i="4"/>
  <c r="F8" i="4"/>
  <c r="F3" i="4"/>
  <c r="E4" i="4"/>
  <c r="E5" i="4"/>
  <c r="E6" i="4"/>
  <c r="E7" i="4"/>
  <c r="E8" i="4"/>
  <c r="E3" i="4"/>
  <c r="C8" i="3"/>
  <c r="B8" i="3"/>
  <c r="E3" i="3"/>
  <c r="E4" i="3"/>
  <c r="E5" i="3"/>
  <c r="E6" i="3"/>
  <c r="E7" i="3"/>
  <c r="E2" i="3"/>
  <c r="F2" i="3"/>
  <c r="D4" i="4" l="1"/>
  <c r="D5" i="4"/>
  <c r="D6" i="4"/>
  <c r="D7" i="4"/>
  <c r="D8" i="4"/>
  <c r="D3" i="4"/>
</calcChain>
</file>

<file path=xl/sharedStrings.xml><?xml version="1.0" encoding="utf-8"?>
<sst xmlns="http://schemas.openxmlformats.org/spreadsheetml/2006/main" count="47" uniqueCount="35">
  <si>
    <t>Free Tutorials</t>
  </si>
  <si>
    <t>Courses to help you succeed</t>
  </si>
  <si>
    <t>Favorite Resources</t>
  </si>
  <si>
    <t>Sharing &amp; Learning</t>
  </si>
  <si>
    <t>Feel free to share this with anyone who can benefit!</t>
  </si>
  <si>
    <t>If you'd like to learn Excel in a structured way and in your own time, check out my bestselling courses:</t>
  </si>
  <si>
    <t xml:space="preserve">Browse through my free Excel tutorials to discover dashboard tips, chart tricks and advanced formula  techniques. </t>
  </si>
  <si>
    <t>Check out my list of favorite resources. It includes links to Excel books I've found helpful, courses on topics I'm interested in such as Power Query, data science and more.</t>
  </si>
  <si>
    <t>Customer</t>
  </si>
  <si>
    <t>Maxim</t>
  </si>
  <si>
    <t>Loco</t>
  </si>
  <si>
    <t>Limba</t>
  </si>
  <si>
    <t>Nadar</t>
  </si>
  <si>
    <t>Tampay</t>
  </si>
  <si>
    <t>Karlson</t>
  </si>
  <si>
    <t>PY</t>
  </si>
  <si>
    <t>Error</t>
  </si>
  <si>
    <t>Description</t>
  </si>
  <si>
    <t>This is probably the most common error and easiest to pinpoint. When you divide a number by zero you will get this error.</t>
  </si>
  <si>
    <t>This error is returned when the wrong type of argument is used. For example if you try to multiply a value by a cell that has text in it.</t>
  </si>
  <si>
    <t>This error results when you move your formulas and haven’t correctly specified which cells are fixed and which should move with your formula. Also if you delete some cells that were a part of your formula.</t>
  </si>
  <si>
    <t>The most common reason for this error is because the formula has been mistyped and Excel doesn’t recognize what function you are referring to.</t>
  </si>
  <si>
    <t>#N/A!</t>
  </si>
  <si>
    <t xml:space="preserve">This is a frequent error if you are using Lookup formulas (especially in VLOOKUP) and the matching cannot be done. </t>
  </si>
  <si>
    <t>This is an uncommon error and occurs if you haven’t specified your ranges correctly, e.g. typing SUM(B4 B6) instead of SUM(B4:B6) or SUM(B4,B6).</t>
  </si>
  <si>
    <t>This is another uncommon error and occurs when you supply an invalid number to your formula e.g. if you are using negatives where a positive number is required by your function.</t>
  </si>
  <si>
    <t>Change</t>
  </si>
  <si>
    <t>Sales</t>
  </si>
  <si>
    <t>Name</t>
  </si>
  <si>
    <t>Limbo</t>
  </si>
  <si>
    <t>missing</t>
  </si>
  <si>
    <t>Note: SUM(C3) - B3 this works because we convert the text cell into numeric</t>
  </si>
  <si>
    <t>Change % with Errors</t>
  </si>
  <si>
    <t>Change % No Errors</t>
  </si>
  <si>
    <r>
      <t xml:space="preserve">NOTE: </t>
    </r>
    <r>
      <rPr>
        <sz val="11"/>
        <color theme="1"/>
        <rFont val="Calibri"/>
        <family val="2"/>
        <scheme val="minor"/>
      </rPr>
      <t>Here it has IFERROR(), IFNA() for future versions.</t>
    </r>
  </si>
</sst>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1"/>
      <color theme="1"/>
      <name val="Calibri"/>
      <family val="2"/>
      <scheme val="minor"/>
    </font>
    <font>
      <u/>
      <sz val="11"/>
      <color theme="10"/>
      <name val="Calibri"/>
      <family val="2"/>
      <scheme val="minor"/>
    </font>
    <font>
      <b/>
      <sz val="14"/>
      <color theme="1"/>
      <name val="Calibri"/>
      <family val="2"/>
      <scheme val="minor"/>
    </font>
    <font>
      <b/>
      <sz val="14"/>
      <color rgb="FF363636"/>
      <name val="Lato"/>
      <family val="2"/>
    </font>
    <font>
      <u/>
      <sz val="11"/>
      <color theme="10"/>
      <name val="Schriftart für Textkörper"/>
      <family val="2"/>
    </font>
    <font>
      <b/>
      <sz val="14"/>
      <color theme="0"/>
      <name val="Lato"/>
      <family val="2"/>
    </font>
    <font>
      <sz val="12"/>
      <color theme="0" tint="-4.9989318521683403E-2"/>
      <name val="Calibri"/>
      <family val="2"/>
      <scheme val="minor"/>
    </font>
    <font>
      <b/>
      <sz val="12"/>
      <color theme="1"/>
      <name val="Calibri"/>
      <family val="2"/>
      <scheme val="minor"/>
    </font>
    <font>
      <b/>
      <sz val="11"/>
      <color theme="1"/>
      <name val="Calibri"/>
      <family val="2"/>
      <scheme val="minor"/>
    </font>
    <font>
      <sz val="11"/>
      <color theme="6" tint="-0.499984740745262"/>
      <name val="Calibri"/>
      <family val="2"/>
      <scheme val="minor"/>
    </font>
    <font>
      <b/>
      <sz val="11"/>
      <color theme="1"/>
      <name val="Arial"/>
      <family val="2"/>
    </font>
    <font>
      <sz val="11"/>
      <name val="Calibri"/>
      <family val="2"/>
      <scheme val="minor"/>
    </font>
  </fonts>
  <fills count="8">
    <fill>
      <patternFill patternType="none"/>
    </fill>
    <fill>
      <patternFill patternType="gray125"/>
    </fill>
    <fill>
      <patternFill patternType="solid">
        <fgColor rgb="FF9DA85E"/>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s>
  <borders count="12">
    <border>
      <left/>
      <right/>
      <top/>
      <bottom/>
      <diagonal/>
    </border>
    <border>
      <left/>
      <right/>
      <top/>
      <bottom style="medium">
        <color theme="1" tint="0.24994659260841701"/>
      </bottom>
      <diagonal/>
    </border>
    <border>
      <left/>
      <right/>
      <top/>
      <bottom style="medium">
        <color rgb="FF2981B9"/>
      </bottom>
      <diagonal/>
    </border>
    <border>
      <left/>
      <right/>
      <top/>
      <bottom style="medium">
        <color rgb="FF9DA85E"/>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bottom style="thin">
        <color theme="0" tint="-0.14993743705557422"/>
      </bottom>
      <diagonal/>
    </border>
  </borders>
  <cellStyleXfs count="8">
    <xf numFmtId="0" fontId="0" fillId="0" borderId="0"/>
    <xf numFmtId="0" fontId="1" fillId="0" borderId="0"/>
    <xf numFmtId="0" fontId="2" fillId="0" borderId="0" applyNumberFormat="0" applyFill="0" applyBorder="0" applyAlignment="0" applyProtection="0"/>
    <xf numFmtId="0" fontId="5" fillId="0" borderId="0" applyNumberFormat="0" applyFill="0" applyBorder="0" applyAlignment="0" applyProtection="0"/>
    <xf numFmtId="0" fontId="8" fillId="0" borderId="1" applyFill="0" applyAlignment="0" applyProtection="0"/>
    <xf numFmtId="0" fontId="9" fillId="0" borderId="2" applyNumberFormat="0" applyFill="0" applyAlignment="0" applyProtection="0"/>
    <xf numFmtId="0" fontId="9" fillId="0" borderId="3" applyNumberFormat="0" applyFill="0" applyAlignment="0" applyProtection="0"/>
    <xf numFmtId="9" fontId="1" fillId="0" borderId="0" applyFont="0" applyFill="0" applyBorder="0" applyAlignment="0" applyProtection="0"/>
  </cellStyleXfs>
  <cellXfs count="51">
    <xf numFmtId="0" fontId="0" fillId="0" borderId="0" xfId="0"/>
    <xf numFmtId="0" fontId="1" fillId="0" borderId="0" xfId="1" applyFill="1"/>
    <xf numFmtId="0" fontId="1" fillId="0" borderId="0" xfId="1"/>
    <xf numFmtId="0" fontId="1" fillId="0" borderId="0" xfId="1" applyFill="1" applyBorder="1"/>
    <xf numFmtId="0" fontId="3" fillId="0" borderId="0" xfId="1" quotePrefix="1" applyFont="1" applyFill="1" applyBorder="1"/>
    <xf numFmtId="0" fontId="4" fillId="0" borderId="0" xfId="1" applyFont="1" applyFill="1" applyBorder="1"/>
    <xf numFmtId="0" fontId="2" fillId="0" borderId="0" xfId="2" applyFill="1" applyBorder="1"/>
    <xf numFmtId="0" fontId="5" fillId="0" borderId="0" xfId="3" applyFill="1" applyBorder="1"/>
    <xf numFmtId="0" fontId="1" fillId="2" borderId="0" xfId="1" applyFill="1"/>
    <xf numFmtId="0" fontId="1" fillId="2" borderId="0" xfId="1" applyFill="1" applyBorder="1"/>
    <xf numFmtId="0" fontId="6" fillId="2" borderId="0" xfId="1" applyFont="1" applyFill="1" applyBorder="1"/>
    <xf numFmtId="0" fontId="7" fillId="2" borderId="0" xfId="1" applyFont="1" applyFill="1" applyBorder="1"/>
    <xf numFmtId="0" fontId="1" fillId="3" borderId="0" xfId="1" applyFill="1"/>
    <xf numFmtId="0" fontId="0" fillId="0" borderId="0" xfId="0" applyFill="1" applyAlignment="1">
      <alignment wrapText="1"/>
    </xf>
    <xf numFmtId="0" fontId="0" fillId="0" borderId="0" xfId="0" applyFill="1"/>
    <xf numFmtId="0" fontId="1" fillId="4" borderId="0" xfId="1" applyFill="1"/>
    <xf numFmtId="0" fontId="1" fillId="4" borderId="0" xfId="1" applyFill="1" applyBorder="1"/>
    <xf numFmtId="0" fontId="0" fillId="4" borderId="0" xfId="0" applyFill="1"/>
    <xf numFmtId="0" fontId="9" fillId="5" borderId="4" xfId="0" applyFont="1" applyFill="1" applyBorder="1" applyAlignment="1">
      <alignment wrapText="1"/>
    </xf>
    <xf numFmtId="0" fontId="0" fillId="0" borderId="5" xfId="0" applyBorder="1"/>
    <xf numFmtId="3" fontId="0" fillId="0" borderId="5" xfId="0" applyNumberFormat="1" applyBorder="1"/>
    <xf numFmtId="9" fontId="0" fillId="0" borderId="5" xfId="7" applyFont="1" applyBorder="1"/>
    <xf numFmtId="0" fontId="0" fillId="0" borderId="6" xfId="0" applyBorder="1"/>
    <xf numFmtId="3" fontId="0" fillId="0" borderId="6" xfId="0" applyNumberFormat="1" applyBorder="1"/>
    <xf numFmtId="3" fontId="10" fillId="0" borderId="6" xfId="0" applyNumberFormat="1" applyFont="1" applyBorder="1" applyAlignment="1">
      <alignment horizontal="right"/>
    </xf>
    <xf numFmtId="0" fontId="11" fillId="0" borderId="7" xfId="0" applyFont="1" applyBorder="1" applyAlignment="1">
      <alignment horizontal="left" vertical="center" wrapText="1"/>
    </xf>
    <xf numFmtId="0" fontId="0" fillId="0" borderId="5" xfId="7" applyNumberFormat="1" applyFont="1" applyBorder="1"/>
    <xf numFmtId="3" fontId="0" fillId="0" borderId="5" xfId="7" applyNumberFormat="1" applyFont="1" applyBorder="1"/>
    <xf numFmtId="3" fontId="0" fillId="0" borderId="0" xfId="0" applyNumberFormat="1"/>
    <xf numFmtId="0" fontId="9" fillId="6" borderId="4" xfId="0" applyFont="1" applyFill="1" applyBorder="1" applyAlignment="1">
      <alignment horizontal="left" wrapText="1"/>
    </xf>
    <xf numFmtId="0" fontId="9" fillId="6" borderId="4" xfId="0" applyFont="1" applyFill="1" applyBorder="1" applyAlignment="1">
      <alignment horizontal="center" wrapText="1"/>
    </xf>
    <xf numFmtId="9" fontId="0" fillId="0" borderId="0" xfId="7" applyFont="1"/>
    <xf numFmtId="0" fontId="0" fillId="7" borderId="0" xfId="0" applyFill="1"/>
    <xf numFmtId="0" fontId="9" fillId="5" borderId="4" xfId="0" applyFont="1" applyFill="1" applyBorder="1" applyAlignment="1"/>
    <xf numFmtId="0" fontId="0" fillId="0" borderId="8" xfId="0" applyBorder="1" applyAlignment="1">
      <alignment vertical="center"/>
    </xf>
    <xf numFmtId="0" fontId="0" fillId="0" borderId="9" xfId="0" applyBorder="1" applyAlignment="1">
      <alignment vertical="center"/>
    </xf>
    <xf numFmtId="0" fontId="9" fillId="6" borderId="0" xfId="0" applyFont="1" applyFill="1" applyBorder="1" applyAlignment="1">
      <alignment horizontal="center" wrapText="1"/>
    </xf>
    <xf numFmtId="3" fontId="0" fillId="0" borderId="0" xfId="0" applyNumberFormat="1" applyBorder="1"/>
    <xf numFmtId="3" fontId="10" fillId="0" borderId="0" xfId="0" applyNumberFormat="1" applyFont="1" applyBorder="1" applyAlignment="1">
      <alignment horizontal="right"/>
    </xf>
    <xf numFmtId="0" fontId="0" fillId="0" borderId="0" xfId="7" applyNumberFormat="1" applyFont="1"/>
    <xf numFmtId="3" fontId="0" fillId="0" borderId="0" xfId="7" applyNumberFormat="1" applyFont="1"/>
    <xf numFmtId="3" fontId="0" fillId="0" borderId="0" xfId="0" applyNumberFormat="1" applyAlignment="1">
      <alignment wrapText="1"/>
    </xf>
    <xf numFmtId="3" fontId="12" fillId="0" borderId="6" xfId="0" applyNumberFormat="1" applyFont="1" applyBorder="1" applyAlignment="1">
      <alignment horizontal="right"/>
    </xf>
    <xf numFmtId="0" fontId="0" fillId="0" borderId="11" xfId="0" applyBorder="1"/>
    <xf numFmtId="3" fontId="0" fillId="0" borderId="11" xfId="0" applyNumberFormat="1" applyBorder="1"/>
    <xf numFmtId="0" fontId="0" fillId="0" borderId="11" xfId="7" applyNumberFormat="1" applyFont="1" applyBorder="1"/>
    <xf numFmtId="0" fontId="9" fillId="5" borderId="10" xfId="0" applyFont="1" applyFill="1" applyBorder="1" applyAlignment="1">
      <alignment horizontal="left" wrapText="1"/>
    </xf>
    <xf numFmtId="0" fontId="9" fillId="5" borderId="10" xfId="0" applyFont="1" applyFill="1" applyBorder="1" applyAlignment="1">
      <alignment horizontal="center" wrapText="1"/>
    </xf>
    <xf numFmtId="0" fontId="9" fillId="6" borderId="10" xfId="0" applyFont="1" applyFill="1" applyBorder="1" applyAlignment="1">
      <alignment horizontal="center"/>
    </xf>
    <xf numFmtId="0" fontId="9" fillId="4" borderId="10" xfId="0" applyFont="1" applyFill="1" applyBorder="1"/>
    <xf numFmtId="0" fontId="9" fillId="0" borderId="0" xfId="0" applyFont="1" applyAlignment="1">
      <alignment wrapText="1"/>
    </xf>
  </cellXfs>
  <cellStyles count="8">
    <cellStyle name="Heading 1 2" xfId="5"/>
    <cellStyle name="Heading 2 2" xfId="6"/>
    <cellStyle name="Heading green" xfId="4"/>
    <cellStyle name="Hyperlink 2" xfId="2"/>
    <cellStyle name="Hyperlink 3" xfId="3"/>
    <cellStyle name="Normal" xfId="0" builtinId="0"/>
    <cellStyle name="Normal 2" xfId="1"/>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xelplus.com/tutorials" TargetMode="External"/><Relationship Id="rId2" Type="http://schemas.openxmlformats.org/officeDocument/2006/relationships/image" Target="../media/image1.gif"/><Relationship Id="rId1" Type="http://schemas.openxmlformats.org/officeDocument/2006/relationships/hyperlink" Target="https://www.xelplus.com/resources/" TargetMode="External"/><Relationship Id="rId4" Type="http://schemas.openxmlformats.org/officeDocument/2006/relationships/hyperlink" Target="https://www.xelplus.com/courses" TargetMode="External"/></Relationships>
</file>

<file path=xl/drawings/drawing1.xml><?xml version="1.0" encoding="utf-8"?>
<xdr:wsDr xmlns:xdr="http://schemas.openxmlformats.org/drawingml/2006/spreadsheetDrawing" xmlns:a="http://schemas.openxmlformats.org/drawingml/2006/main">
  <xdr:oneCellAnchor>
    <xdr:from>
      <xdr:col>1</xdr:col>
      <xdr:colOff>114300</xdr:colOff>
      <xdr:row>0</xdr:row>
      <xdr:rowOff>9525</xdr:rowOff>
    </xdr:from>
    <xdr:ext cx="2571666" cy="646395"/>
    <xdr:sp macro="" textlink="">
      <xdr:nvSpPr>
        <xdr:cNvPr id="2" name="TextBox 1">
          <a:extLst>
            <a:ext uri="{FF2B5EF4-FFF2-40B4-BE49-F238E27FC236}">
              <a16:creationId xmlns:a16="http://schemas.microsoft.com/office/drawing/2014/main" xmlns="" id="{873DBE97-6781-479E-9A7C-2C9080B9CE50}"/>
            </a:ext>
          </a:extLst>
        </xdr:cNvPr>
        <xdr:cNvSpPr txBox="1"/>
      </xdr:nvSpPr>
      <xdr:spPr>
        <a:xfrm>
          <a:off x="209550" y="9525"/>
          <a:ext cx="2571666"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3600" baseline="0">
              <a:solidFill>
                <a:srgbClr val="363636"/>
              </a:solidFill>
              <a:latin typeface="Roboto Black" panose="02000000000000000000" pitchFamily="2" charset="0"/>
              <a:ea typeface="Roboto Black" panose="02000000000000000000" pitchFamily="2" charset="0"/>
              <a:cs typeface="Roboto Black" panose="02000000000000000000" pitchFamily="2" charset="0"/>
            </a:rPr>
            <a:t>Learn More</a:t>
          </a:r>
          <a:endParaRPr lang="en-GB" sz="3600">
            <a:solidFill>
              <a:srgbClr val="363636"/>
            </a:solidFill>
            <a:latin typeface="Roboto Black" panose="02000000000000000000" pitchFamily="2" charset="0"/>
            <a:ea typeface="Roboto Black" panose="02000000000000000000" pitchFamily="2" charset="0"/>
            <a:cs typeface="Roboto Black" panose="02000000000000000000" pitchFamily="2" charset="0"/>
          </a:endParaRPr>
        </a:p>
      </xdr:txBody>
    </xdr:sp>
    <xdr:clientData/>
  </xdr:oneCellAnchor>
  <xdr:twoCellAnchor editAs="oneCell">
    <xdr:from>
      <xdr:col>6</xdr:col>
      <xdr:colOff>485775</xdr:colOff>
      <xdr:row>1</xdr:row>
      <xdr:rowOff>38100</xdr:rowOff>
    </xdr:from>
    <xdr:to>
      <xdr:col>10</xdr:col>
      <xdr:colOff>428625</xdr:colOff>
      <xdr:row>2</xdr:row>
      <xdr:rowOff>95250</xdr:rowOff>
    </xdr:to>
    <xdr:pic>
      <xdr:nvPicPr>
        <xdr:cNvPr id="3" name="Picture 2">
          <a:hlinkClick xmlns:r="http://schemas.openxmlformats.org/officeDocument/2006/relationships" r:id="rId1"/>
          <a:extLst>
            <a:ext uri="{FF2B5EF4-FFF2-40B4-BE49-F238E27FC236}">
              <a16:creationId xmlns:a16="http://schemas.microsoft.com/office/drawing/2014/main" xmlns="" id="{4F711222-CFF2-4250-A464-5BB52C916C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8050" y="228600"/>
          <a:ext cx="2381250" cy="247650"/>
        </a:xfrm>
        <a:prstGeom prst="rect">
          <a:avLst/>
        </a:prstGeom>
      </xdr:spPr>
    </xdr:pic>
    <xdr:clientData/>
  </xdr:twoCellAnchor>
  <xdr:twoCellAnchor editAs="absolute">
    <xdr:from>
      <xdr:col>2</xdr:col>
      <xdr:colOff>19050</xdr:colOff>
      <xdr:row>7</xdr:row>
      <xdr:rowOff>176213</xdr:rowOff>
    </xdr:from>
    <xdr:to>
      <xdr:col>2</xdr:col>
      <xdr:colOff>1247775</xdr:colOff>
      <xdr:row>8</xdr:row>
      <xdr:rowOff>271463</xdr:rowOff>
    </xdr:to>
    <xdr:sp macro="" textlink="">
      <xdr:nvSpPr>
        <xdr:cNvPr id="4" name="Rectangle 3">
          <a:hlinkClick xmlns:r="http://schemas.openxmlformats.org/officeDocument/2006/relationships" r:id="rId3"/>
          <a:extLst>
            <a:ext uri="{FF2B5EF4-FFF2-40B4-BE49-F238E27FC236}">
              <a16:creationId xmlns:a16="http://schemas.microsoft.com/office/drawing/2014/main" xmlns="" id="{387B6F82-1615-4D10-93A6-27B3F566AB17}"/>
            </a:ext>
          </a:extLst>
        </xdr:cNvPr>
        <xdr:cNvSpPr/>
      </xdr:nvSpPr>
      <xdr:spPr>
        <a:xfrm>
          <a:off x="323850" y="1600201"/>
          <a:ext cx="1228725" cy="476250"/>
        </a:xfrm>
        <a:prstGeom prst="rect">
          <a:avLst/>
        </a:prstGeom>
        <a:solidFill>
          <a:srgbClr val="E88450"/>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Free</a:t>
          </a:r>
          <a:r>
            <a:rPr lang="en-US" sz="1200" baseline="0">
              <a:latin typeface="Lato" panose="020F0502020204030203" pitchFamily="34" charset="0"/>
            </a:rPr>
            <a:t> Tutorials</a:t>
          </a:r>
          <a:endParaRPr lang="en-US" sz="1200">
            <a:latin typeface="Lato" panose="020F0502020204030203" pitchFamily="34" charset="0"/>
          </a:endParaRPr>
        </a:p>
      </xdr:txBody>
    </xdr:sp>
    <xdr:clientData/>
  </xdr:twoCellAnchor>
  <xdr:twoCellAnchor editAs="absolute">
    <xdr:from>
      <xdr:col>2</xdr:col>
      <xdr:colOff>19050</xdr:colOff>
      <xdr:row>12</xdr:row>
      <xdr:rowOff>157162</xdr:rowOff>
    </xdr:from>
    <xdr:to>
      <xdr:col>2</xdr:col>
      <xdr:colOff>1247775</xdr:colOff>
      <xdr:row>13</xdr:row>
      <xdr:rowOff>128587</xdr:rowOff>
    </xdr:to>
    <xdr:sp macro="" textlink="">
      <xdr:nvSpPr>
        <xdr:cNvPr id="5" name="Rectangle 4">
          <a:hlinkClick xmlns:r="http://schemas.openxmlformats.org/officeDocument/2006/relationships" r:id="rId4"/>
          <a:extLst>
            <a:ext uri="{FF2B5EF4-FFF2-40B4-BE49-F238E27FC236}">
              <a16:creationId xmlns:a16="http://schemas.microsoft.com/office/drawing/2014/main" xmlns="" id="{B7D6FC2A-434A-494D-9E2D-CE2AEF1074C3}"/>
            </a:ext>
          </a:extLst>
        </xdr:cNvPr>
        <xdr:cNvSpPr/>
      </xdr:nvSpPr>
      <xdr:spPr>
        <a:xfrm>
          <a:off x="323850" y="3095625"/>
          <a:ext cx="1228725" cy="476250"/>
        </a:xfrm>
        <a:prstGeom prst="rect">
          <a:avLst/>
        </a:prstGeom>
        <a:solidFill>
          <a:srgbClr val="2981B9"/>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Start</a:t>
          </a:r>
          <a:r>
            <a:rPr lang="en-US" sz="1200" baseline="0">
              <a:latin typeface="Lato" panose="020F0502020204030203" pitchFamily="34" charset="0"/>
            </a:rPr>
            <a:t> Learning</a:t>
          </a:r>
          <a:endParaRPr lang="en-US" sz="1200">
            <a:latin typeface="Lato" panose="020F0502020204030203" pitchFamily="34" charset="0"/>
          </a:endParaRPr>
        </a:p>
      </xdr:txBody>
    </xdr:sp>
    <xdr:clientData/>
  </xdr:twoCellAnchor>
  <xdr:twoCellAnchor editAs="absolute">
    <xdr:from>
      <xdr:col>2</xdr:col>
      <xdr:colOff>9525</xdr:colOff>
      <xdr:row>17</xdr:row>
      <xdr:rowOff>119062</xdr:rowOff>
    </xdr:from>
    <xdr:to>
      <xdr:col>2</xdr:col>
      <xdr:colOff>1238250</xdr:colOff>
      <xdr:row>20</xdr:row>
      <xdr:rowOff>33337</xdr:rowOff>
    </xdr:to>
    <xdr:sp macro="" textlink="">
      <xdr:nvSpPr>
        <xdr:cNvPr id="6" name="Rectangle 5">
          <a:hlinkClick xmlns:r="http://schemas.openxmlformats.org/officeDocument/2006/relationships" r:id="rId1"/>
          <a:extLst>
            <a:ext uri="{FF2B5EF4-FFF2-40B4-BE49-F238E27FC236}">
              <a16:creationId xmlns:a16="http://schemas.microsoft.com/office/drawing/2014/main" xmlns="" id="{3B39CA52-2116-4590-A642-015BA165FAB7}"/>
            </a:ext>
          </a:extLst>
        </xdr:cNvPr>
        <xdr:cNvSpPr/>
      </xdr:nvSpPr>
      <xdr:spPr>
        <a:xfrm>
          <a:off x="314325" y="4791075"/>
          <a:ext cx="1228725" cy="476250"/>
        </a:xfrm>
        <a:prstGeom prst="rect">
          <a:avLst/>
        </a:prstGeom>
        <a:solidFill>
          <a:srgbClr val="207245"/>
        </a:solidFill>
        <a:ln>
          <a:solidFill>
            <a:schemeClr val="bg1">
              <a:lumMod val="8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200">
              <a:latin typeface="Lato" panose="020F0502020204030203" pitchFamily="34" charset="0"/>
            </a:rPr>
            <a:t>Browse</a:t>
          </a:r>
          <a:r>
            <a:rPr lang="en-US" sz="1200" baseline="0">
              <a:latin typeface="Lato" panose="020F0502020204030203" pitchFamily="34" charset="0"/>
            </a:rPr>
            <a:t> </a:t>
          </a:r>
          <a:endParaRPr lang="en-US" sz="1200">
            <a:latin typeface="Lato" panose="020F0502020204030203" pitchFamily="34" charset="0"/>
          </a:endParaRPr>
        </a:p>
      </xdr:txBody>
    </xdr:sp>
    <xdr:clientData/>
  </xdr:twoCellAnchor>
  <xdr:twoCellAnchor>
    <xdr:from>
      <xdr:col>6</xdr:col>
      <xdr:colOff>228600</xdr:colOff>
      <xdr:row>4</xdr:row>
      <xdr:rowOff>1</xdr:rowOff>
    </xdr:from>
    <xdr:to>
      <xdr:col>11</xdr:col>
      <xdr:colOff>28575</xdr:colOff>
      <xdr:row>10</xdr:row>
      <xdr:rowOff>66675</xdr:rowOff>
    </xdr:to>
    <xdr:sp macro="" textlink="">
      <xdr:nvSpPr>
        <xdr:cNvPr id="7" name="Speech Bubble: Rectangle 6">
          <a:hlinkClick xmlns:r="http://schemas.openxmlformats.org/officeDocument/2006/relationships" r:id="rId4"/>
          <a:extLst>
            <a:ext uri="{FF2B5EF4-FFF2-40B4-BE49-F238E27FC236}">
              <a16:creationId xmlns:a16="http://schemas.microsoft.com/office/drawing/2014/main" xmlns="" id="{1EB071EA-ACC9-4734-A8FD-0513D5B50979}"/>
            </a:ext>
          </a:extLst>
        </xdr:cNvPr>
        <xdr:cNvSpPr/>
      </xdr:nvSpPr>
      <xdr:spPr>
        <a:xfrm>
          <a:off x="9086850" y="762001"/>
          <a:ext cx="2847975" cy="1819274"/>
        </a:xfrm>
        <a:prstGeom prst="wedgeRectCallout">
          <a:avLst>
            <a:gd name="adj1" fmla="val 65789"/>
            <a:gd name="adj2" fmla="val 27491"/>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lumMod val="75000"/>
                  <a:lumOff val="25000"/>
                </a:schemeClr>
              </a:solidFill>
              <a:effectLst/>
              <a:latin typeface="+mn-lt"/>
              <a:ea typeface="+mn-ea"/>
              <a:cs typeface="+mn-cs"/>
            </a:rPr>
            <a:t>After having taken other VBA courses, I can say with certainty that this is the best by far, it is amazing the amount of tips, tricks and shortcuts that Leila teaches us and others do not. It shows the effort and love that Leila delivers in each course she does.</a:t>
          </a:r>
        </a:p>
        <a:p>
          <a:pPr algn="l"/>
          <a:endParaRPr lang="en-US" sz="1200" b="0" i="0">
            <a:solidFill>
              <a:schemeClr val="tx1">
                <a:lumMod val="75000"/>
                <a:lumOff val="25000"/>
              </a:schemeClr>
            </a:solidFill>
            <a:effectLst/>
            <a:latin typeface="+mn-lt"/>
            <a:ea typeface="+mn-ea"/>
            <a:cs typeface="+mn-cs"/>
          </a:endParaRPr>
        </a:p>
        <a:p>
          <a:pPr algn="l"/>
          <a:r>
            <a:rPr lang="en-US" sz="1200" b="0" i="0" baseline="0">
              <a:solidFill>
                <a:schemeClr val="tx1">
                  <a:lumMod val="75000"/>
                  <a:lumOff val="25000"/>
                </a:schemeClr>
              </a:solidFill>
              <a:effectLst/>
              <a:latin typeface="+mn-lt"/>
              <a:ea typeface="+mn-ea"/>
              <a:cs typeface="+mn-cs"/>
            </a:rPr>
            <a:t>             </a:t>
          </a:r>
          <a:r>
            <a:rPr lang="en-US" sz="1200" b="0" i="0">
              <a:solidFill>
                <a:schemeClr val="tx1">
                  <a:lumMod val="75000"/>
                  <a:lumOff val="25000"/>
                </a:schemeClr>
              </a:solidFill>
              <a:effectLst/>
              <a:latin typeface="+mn-lt"/>
              <a:ea typeface="+mn-ea"/>
              <a:cs typeface="+mn-cs"/>
            </a:rPr>
            <a:t>Felix Valecillos (Excel</a:t>
          </a:r>
          <a:r>
            <a:rPr lang="en-US" sz="1200" b="0" i="0" baseline="0">
              <a:solidFill>
                <a:schemeClr val="tx1">
                  <a:lumMod val="75000"/>
                  <a:lumOff val="25000"/>
                </a:schemeClr>
              </a:solidFill>
              <a:effectLst/>
              <a:latin typeface="+mn-lt"/>
              <a:ea typeface="+mn-ea"/>
              <a:cs typeface="+mn-cs"/>
            </a:rPr>
            <a:t> VBA course)</a:t>
          </a:r>
          <a:endParaRPr lang="en-US" sz="1200">
            <a:solidFill>
              <a:schemeClr val="tx1">
                <a:lumMod val="75000"/>
                <a:lumOff val="25000"/>
              </a:schemeClr>
            </a:solidFill>
          </a:endParaRPr>
        </a:p>
      </xdr:txBody>
    </xdr:sp>
    <xdr:clientData/>
  </xdr:twoCellAnchor>
  <xdr:twoCellAnchor>
    <xdr:from>
      <xdr:col>6</xdr:col>
      <xdr:colOff>133350</xdr:colOff>
      <xdr:row>12</xdr:row>
      <xdr:rowOff>504824</xdr:rowOff>
    </xdr:from>
    <xdr:to>
      <xdr:col>13</xdr:col>
      <xdr:colOff>9525</xdr:colOff>
      <xdr:row>22</xdr:row>
      <xdr:rowOff>90487</xdr:rowOff>
    </xdr:to>
    <xdr:sp macro="" textlink="">
      <xdr:nvSpPr>
        <xdr:cNvPr id="8" name="Speech Bubble: Rectangle 7">
          <a:hlinkClick xmlns:r="http://schemas.openxmlformats.org/officeDocument/2006/relationships" r:id="rId4"/>
          <a:extLst>
            <a:ext uri="{FF2B5EF4-FFF2-40B4-BE49-F238E27FC236}">
              <a16:creationId xmlns:a16="http://schemas.microsoft.com/office/drawing/2014/main" xmlns="" id="{CC64B883-349D-4D2A-868A-696EF50A10E5}"/>
            </a:ext>
          </a:extLst>
        </xdr:cNvPr>
        <xdr:cNvSpPr/>
      </xdr:nvSpPr>
      <xdr:spPr>
        <a:xfrm>
          <a:off x="7386638" y="3457574"/>
          <a:ext cx="3495675" cy="2195513"/>
        </a:xfrm>
        <a:prstGeom prst="wedgeRectCallout">
          <a:avLst>
            <a:gd name="adj1" fmla="val 19909"/>
            <a:gd name="adj2" fmla="val 80333"/>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lumMod val="75000"/>
                  <a:lumOff val="25000"/>
                </a:schemeClr>
              </a:solidFill>
              <a:effectLst/>
              <a:latin typeface="+mn-lt"/>
              <a:ea typeface="+mn-ea"/>
              <a:cs typeface="+mn-cs"/>
            </a:rPr>
            <a:t>This is a great course that taught me new things and also demonstrated new ways to apply existing techniques in ways I had not previously considered or knew where possible. I really enjoyed and benefited from the teaching style. Leila chunks the more complicated subject matter to make it easier to grasp. As a result my Excel capability just increased significantly and I have no hesitation recommending this course.</a:t>
          </a:r>
        </a:p>
        <a:p>
          <a:pPr algn="l"/>
          <a:endParaRPr lang="en-US" sz="1200" b="0" i="0">
            <a:solidFill>
              <a:schemeClr val="tx1">
                <a:lumMod val="75000"/>
                <a:lumOff val="25000"/>
              </a:schemeClr>
            </a:solidFill>
            <a:effectLst/>
            <a:latin typeface="+mn-lt"/>
            <a:ea typeface="+mn-ea"/>
            <a:cs typeface="+mn-cs"/>
          </a:endParaRPr>
        </a:p>
        <a:p>
          <a:pPr algn="l"/>
          <a:r>
            <a:rPr lang="en-US" sz="1200" b="0" i="0" baseline="0">
              <a:solidFill>
                <a:schemeClr val="tx1">
                  <a:lumMod val="75000"/>
                  <a:lumOff val="25000"/>
                </a:schemeClr>
              </a:solidFill>
              <a:effectLst/>
              <a:latin typeface="+mn-lt"/>
              <a:ea typeface="+mn-ea"/>
              <a:cs typeface="+mn-cs"/>
            </a:rPr>
            <a:t>             </a:t>
          </a:r>
          <a:r>
            <a:rPr lang="en-US" sz="1200" b="0" i="0">
              <a:solidFill>
                <a:schemeClr val="tx1">
                  <a:lumMod val="75000"/>
                  <a:lumOff val="25000"/>
                </a:schemeClr>
              </a:solidFill>
              <a:effectLst/>
              <a:latin typeface="+mn-lt"/>
              <a:ea typeface="+mn-ea"/>
              <a:cs typeface="+mn-cs"/>
            </a:rPr>
            <a:t>Ade Vaughan (Excel</a:t>
          </a:r>
          <a:r>
            <a:rPr lang="en-US" sz="1200" b="0" i="0" baseline="0">
              <a:solidFill>
                <a:schemeClr val="tx1">
                  <a:lumMod val="75000"/>
                  <a:lumOff val="25000"/>
                </a:schemeClr>
              </a:solidFill>
              <a:effectLst/>
              <a:latin typeface="+mn-lt"/>
              <a:ea typeface="+mn-ea"/>
              <a:cs typeface="+mn-cs"/>
            </a:rPr>
            <a:t> Dashboard course)</a:t>
          </a:r>
          <a:endParaRPr lang="en-US" sz="1200">
            <a:solidFill>
              <a:schemeClr val="tx1">
                <a:lumMod val="75000"/>
                <a:lumOff val="25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59999389629810485"/>
    <pageSetUpPr fitToPage="1"/>
  </sheetPr>
  <dimension ref="A1:N25"/>
  <sheetViews>
    <sheetView showGridLines="0" workbookViewId="0">
      <selection activeCell="D1" sqref="D1"/>
    </sheetView>
  </sheetViews>
  <sheetFormatPr defaultColWidth="0" defaultRowHeight="14.25" customHeight="1" zeroHeight="1"/>
  <cols>
    <col min="1" max="1" width="1.44140625" style="12" customWidth="1"/>
    <col min="2" max="2" width="3.109375" style="12" customWidth="1"/>
    <col min="3" max="3" width="69.5546875" style="12" customWidth="1"/>
    <col min="4" max="6" width="9.109375" style="12" customWidth="1"/>
    <col min="7" max="11" width="9.109375" style="15" customWidth="1"/>
    <col min="12" max="12" width="2.33203125" style="15" customWidth="1"/>
    <col min="13" max="13" width="2.6640625" style="15" customWidth="1"/>
    <col min="14" max="14" width="2.44140625" style="15" customWidth="1"/>
    <col min="15" max="16384" width="9.109375" style="12" hidden="1"/>
  </cols>
  <sheetData>
    <row r="1" spans="1:14" s="2" customFormat="1" ht="14.4">
      <c r="A1" s="1"/>
      <c r="B1" s="1"/>
      <c r="C1" s="1"/>
      <c r="D1" s="1"/>
      <c r="E1" s="1"/>
      <c r="F1" s="1"/>
      <c r="G1" s="15"/>
      <c r="H1" s="15"/>
      <c r="I1" s="15"/>
      <c r="J1" s="15"/>
      <c r="K1" s="15"/>
      <c r="L1" s="15"/>
      <c r="M1" s="15"/>
      <c r="N1" s="15"/>
    </row>
    <row r="2" spans="1:14" s="2" customFormat="1" ht="14.4">
      <c r="A2" s="1"/>
      <c r="B2" s="1"/>
      <c r="C2" s="1"/>
      <c r="D2" s="1"/>
      <c r="E2" s="1"/>
      <c r="F2" s="1"/>
      <c r="G2" s="15"/>
      <c r="H2" s="15"/>
      <c r="I2" s="15"/>
      <c r="J2" s="15"/>
      <c r="K2" s="15"/>
      <c r="L2" s="15"/>
      <c r="M2" s="15"/>
      <c r="N2" s="15"/>
    </row>
    <row r="3" spans="1:14" s="2" customFormat="1" ht="14.4">
      <c r="A3" s="1"/>
      <c r="B3" s="1"/>
      <c r="C3" s="1"/>
      <c r="D3" s="1"/>
      <c r="E3" s="1"/>
      <c r="F3" s="1"/>
      <c r="G3" s="15"/>
      <c r="H3" s="15"/>
      <c r="I3" s="15"/>
      <c r="J3" s="15"/>
      <c r="K3" s="15"/>
      <c r="L3" s="15"/>
      <c r="M3" s="15"/>
      <c r="N3" s="15"/>
    </row>
    <row r="4" spans="1:14" s="2" customFormat="1" ht="7.95" customHeight="1">
      <c r="A4" s="1"/>
      <c r="B4" s="3"/>
      <c r="C4" s="3"/>
      <c r="D4" s="3"/>
      <c r="E4" s="3"/>
      <c r="F4" s="3"/>
      <c r="G4" s="16"/>
      <c r="H4" s="16"/>
      <c r="I4" s="16"/>
      <c r="J4" s="16"/>
      <c r="K4" s="16"/>
      <c r="L4" s="15"/>
      <c r="M4" s="15"/>
      <c r="N4" s="15"/>
    </row>
    <row r="5" spans="1:14" s="2" customFormat="1" ht="18">
      <c r="A5" s="1"/>
      <c r="B5" s="4"/>
      <c r="C5" s="5" t="s">
        <v>0</v>
      </c>
      <c r="D5" s="3"/>
      <c r="E5" s="3"/>
      <c r="F5" s="3"/>
      <c r="G5" s="16"/>
      <c r="H5" s="16"/>
      <c r="I5" s="16"/>
      <c r="J5" s="16"/>
      <c r="K5" s="16"/>
      <c r="L5" s="16"/>
      <c r="M5" s="15"/>
      <c r="N5" s="15"/>
    </row>
    <row r="6" spans="1:14" s="2" customFormat="1" ht="9.9" customHeight="1">
      <c r="A6" s="1"/>
      <c r="B6" s="3"/>
      <c r="C6" s="6"/>
      <c r="D6" s="6"/>
      <c r="E6" s="6"/>
      <c r="F6" s="3"/>
      <c r="G6" s="16"/>
      <c r="H6" s="16"/>
      <c r="I6" s="16"/>
      <c r="J6" s="16"/>
      <c r="K6" s="16"/>
      <c r="L6" s="16"/>
      <c r="M6" s="15"/>
      <c r="N6" s="15"/>
    </row>
    <row r="7" spans="1:14" s="2" customFormat="1" ht="30" customHeight="1">
      <c r="A7" s="1"/>
      <c r="B7" s="3"/>
      <c r="C7" s="13" t="s">
        <v>6</v>
      </c>
      <c r="D7" s="14"/>
      <c r="E7" s="14"/>
      <c r="F7" s="14"/>
      <c r="G7" s="16"/>
      <c r="H7" s="16"/>
      <c r="I7" s="16"/>
      <c r="J7" s="16"/>
      <c r="K7" s="16"/>
      <c r="L7" s="16"/>
      <c r="M7" s="15"/>
      <c r="N7" s="15"/>
    </row>
    <row r="8" spans="1:14" s="2" customFormat="1" ht="30" customHeight="1">
      <c r="A8" s="1"/>
      <c r="B8" s="3"/>
      <c r="C8" s="13"/>
      <c r="D8" s="14"/>
      <c r="E8" s="14"/>
      <c r="F8" s="14"/>
      <c r="G8" s="16"/>
      <c r="H8" s="16"/>
      <c r="I8" s="16"/>
      <c r="J8" s="16"/>
      <c r="K8" s="16"/>
      <c r="L8" s="16"/>
      <c r="M8" s="15"/>
      <c r="N8" s="15"/>
    </row>
    <row r="9" spans="1:14" s="2" customFormat="1" ht="28.5" customHeight="1">
      <c r="A9" s="1"/>
      <c r="B9" s="3"/>
      <c r="C9" s="13"/>
      <c r="D9" s="14"/>
      <c r="E9" s="14"/>
      <c r="F9" s="14"/>
      <c r="G9" s="16"/>
      <c r="H9" s="16"/>
      <c r="I9" s="16"/>
      <c r="J9" s="16"/>
      <c r="K9" s="16"/>
      <c r="L9" s="16"/>
      <c r="M9" s="15"/>
      <c r="N9" s="15"/>
    </row>
    <row r="10" spans="1:14" s="2" customFormat="1" ht="21" customHeight="1">
      <c r="A10" s="1"/>
      <c r="B10" s="3"/>
      <c r="C10" s="5" t="s">
        <v>1</v>
      </c>
      <c r="D10" s="14"/>
      <c r="E10" s="14"/>
      <c r="F10" s="14"/>
      <c r="G10" s="16"/>
      <c r="H10" s="16"/>
      <c r="I10" s="16"/>
      <c r="J10" s="16"/>
      <c r="K10" s="16"/>
      <c r="L10" s="16"/>
      <c r="M10" s="15"/>
      <c r="N10" s="15"/>
    </row>
    <row r="11" spans="1:14" s="2" customFormat="1" ht="9.9" customHeight="1">
      <c r="A11" s="1"/>
      <c r="B11" s="3"/>
      <c r="C11" s="7"/>
      <c r="D11" s="6"/>
      <c r="E11" s="6"/>
      <c r="F11" s="6"/>
      <c r="G11" s="16"/>
      <c r="H11" s="16"/>
      <c r="I11" s="16"/>
      <c r="J11" s="16"/>
      <c r="K11" s="16"/>
      <c r="L11" s="16"/>
      <c r="M11" s="15"/>
      <c r="N11" s="15"/>
    </row>
    <row r="12" spans="1:14" s="2" customFormat="1" ht="28.8">
      <c r="A12" s="1"/>
      <c r="B12" s="3"/>
      <c r="C12" s="13" t="s">
        <v>5</v>
      </c>
      <c r="D12" s="3"/>
      <c r="E12" s="3"/>
      <c r="F12" s="3"/>
      <c r="G12" s="16"/>
      <c r="H12" s="16"/>
      <c r="I12" s="16"/>
      <c r="J12" s="16"/>
      <c r="K12" s="16"/>
      <c r="L12" s="16"/>
      <c r="M12" s="15"/>
      <c r="N12" s="15"/>
    </row>
    <row r="13" spans="1:14" s="2" customFormat="1" ht="39.75" customHeight="1">
      <c r="A13" s="1"/>
      <c r="B13" s="3"/>
      <c r="C13" s="14"/>
      <c r="D13" s="14"/>
      <c r="E13" s="14"/>
      <c r="F13" s="14"/>
      <c r="G13" s="16"/>
      <c r="H13" s="16"/>
      <c r="I13" s="16"/>
      <c r="J13" s="16"/>
      <c r="K13" s="16"/>
      <c r="L13" s="16"/>
      <c r="M13" s="15"/>
      <c r="N13" s="15"/>
    </row>
    <row r="14" spans="1:14" s="2" customFormat="1" ht="17.25" customHeight="1">
      <c r="A14" s="1"/>
      <c r="B14" s="3"/>
      <c r="C14" s="7"/>
      <c r="D14" s="6"/>
      <c r="E14" s="6"/>
      <c r="F14" s="6"/>
      <c r="G14" s="16"/>
      <c r="H14" s="16"/>
      <c r="I14" s="16"/>
      <c r="J14" s="16"/>
      <c r="K14" s="16"/>
      <c r="L14" s="16"/>
      <c r="M14" s="15"/>
      <c r="N14" s="15"/>
    </row>
    <row r="15" spans="1:14" s="2" customFormat="1" ht="24.75" customHeight="1">
      <c r="A15" s="1"/>
      <c r="B15" s="3"/>
      <c r="C15" s="5" t="s">
        <v>2</v>
      </c>
      <c r="D15" s="3"/>
      <c r="E15" s="3"/>
      <c r="F15" s="3"/>
      <c r="G15" s="16"/>
      <c r="H15" s="16"/>
      <c r="I15" s="16"/>
      <c r="J15" s="16"/>
      <c r="K15" s="16"/>
      <c r="L15" s="16"/>
      <c r="M15" s="15"/>
      <c r="N15" s="15"/>
    </row>
    <row r="16" spans="1:14" s="2" customFormat="1" ht="9.9" customHeight="1">
      <c r="A16" s="1"/>
      <c r="B16" s="3"/>
      <c r="C16" s="3"/>
      <c r="D16" s="3"/>
      <c r="E16" s="3"/>
      <c r="F16" s="3"/>
      <c r="G16" s="16"/>
      <c r="H16" s="16"/>
      <c r="I16" s="16"/>
      <c r="J16" s="16"/>
      <c r="K16" s="16"/>
      <c r="L16" s="16"/>
      <c r="M16" s="15"/>
      <c r="N16" s="15"/>
    </row>
    <row r="17" spans="1:14" s="2" customFormat="1" ht="43.2">
      <c r="A17" s="1"/>
      <c r="B17" s="3"/>
      <c r="C17" s="13" t="s">
        <v>7</v>
      </c>
      <c r="D17" s="3"/>
      <c r="E17" s="3"/>
      <c r="F17" s="3"/>
      <c r="G17" s="17"/>
      <c r="H17" s="16"/>
      <c r="I17" s="16"/>
      <c r="J17" s="16"/>
      <c r="K17" s="16"/>
      <c r="L17" s="16"/>
      <c r="M17" s="15"/>
      <c r="N17" s="15"/>
    </row>
    <row r="18" spans="1:14" s="2" customFormat="1" ht="14.4">
      <c r="A18" s="1"/>
      <c r="B18" s="3"/>
      <c r="D18" s="3"/>
      <c r="E18" s="3"/>
      <c r="F18" s="3"/>
      <c r="G18" s="16"/>
      <c r="H18" s="16"/>
      <c r="I18" s="16"/>
      <c r="J18" s="16"/>
      <c r="K18" s="16"/>
      <c r="L18" s="16"/>
      <c r="M18" s="15"/>
      <c r="N18" s="15"/>
    </row>
    <row r="19" spans="1:14" s="2" customFormat="1" ht="14.4">
      <c r="A19" s="1"/>
      <c r="B19" s="3"/>
      <c r="C19" s="14"/>
      <c r="D19" s="14"/>
      <c r="E19" s="14"/>
      <c r="F19" s="14"/>
      <c r="G19" s="16"/>
      <c r="H19" s="16"/>
      <c r="I19" s="16"/>
      <c r="J19" s="16"/>
      <c r="K19" s="16"/>
      <c r="L19" s="16"/>
      <c r="M19" s="15"/>
      <c r="N19" s="15"/>
    </row>
    <row r="20" spans="1:14" s="2" customFormat="1" ht="14.4">
      <c r="A20" s="1"/>
      <c r="B20" s="3"/>
      <c r="C20" s="7"/>
      <c r="D20" s="6"/>
      <c r="E20" s="6"/>
      <c r="F20" s="6"/>
      <c r="G20" s="16"/>
      <c r="H20" s="16"/>
      <c r="I20" s="16"/>
      <c r="J20" s="16"/>
      <c r="K20" s="16"/>
      <c r="L20" s="16"/>
      <c r="M20" s="15"/>
      <c r="N20" s="15"/>
    </row>
    <row r="21" spans="1:14" s="2" customFormat="1" ht="14.4">
      <c r="A21" s="1"/>
      <c r="B21" s="3"/>
      <c r="C21" s="7"/>
      <c r="D21" s="6"/>
      <c r="E21" s="6"/>
      <c r="F21" s="6"/>
      <c r="G21" s="16"/>
      <c r="H21" s="16"/>
      <c r="I21" s="16"/>
      <c r="J21" s="16"/>
      <c r="K21" s="16"/>
      <c r="L21" s="16"/>
      <c r="M21" s="15"/>
      <c r="N21" s="15"/>
    </row>
    <row r="22" spans="1:14" s="2" customFormat="1" ht="14.4">
      <c r="A22" s="8"/>
      <c r="B22" s="9"/>
      <c r="C22" s="9"/>
      <c r="D22" s="9"/>
      <c r="E22" s="9"/>
      <c r="F22" s="9"/>
      <c r="G22" s="16"/>
      <c r="H22" s="16"/>
      <c r="I22" s="16"/>
      <c r="J22" s="16"/>
      <c r="K22" s="16"/>
      <c r="L22" s="16"/>
      <c r="M22" s="15"/>
      <c r="N22" s="15"/>
    </row>
    <row r="23" spans="1:14" s="2" customFormat="1" ht="17.399999999999999">
      <c r="A23" s="8"/>
      <c r="B23" s="9"/>
      <c r="C23" s="10" t="s">
        <v>3</v>
      </c>
      <c r="D23" s="9"/>
      <c r="E23" s="9"/>
      <c r="F23" s="9"/>
      <c r="G23" s="16"/>
      <c r="H23" s="16"/>
      <c r="I23" s="16"/>
      <c r="J23" s="16"/>
      <c r="K23" s="16"/>
      <c r="L23" s="16"/>
      <c r="M23" s="15"/>
      <c r="N23" s="15"/>
    </row>
    <row r="24" spans="1:14" s="2" customFormat="1" ht="15.6">
      <c r="A24" s="8"/>
      <c r="B24" s="8"/>
      <c r="C24" s="11" t="s">
        <v>4</v>
      </c>
      <c r="D24" s="8"/>
      <c r="E24" s="8"/>
      <c r="F24" s="8"/>
      <c r="G24" s="15"/>
      <c r="H24" s="15"/>
      <c r="I24" s="15"/>
      <c r="J24" s="15"/>
      <c r="K24" s="15"/>
      <c r="L24" s="15"/>
      <c r="M24" s="15"/>
      <c r="N24" s="15"/>
    </row>
    <row r="25" spans="1:14" s="2" customFormat="1" ht="14.4">
      <c r="A25" s="8"/>
      <c r="B25" s="8"/>
      <c r="C25" s="8"/>
      <c r="D25" s="8"/>
      <c r="E25" s="8"/>
      <c r="F25" s="8"/>
      <c r="G25" s="15"/>
      <c r="H25" s="15"/>
      <c r="I25" s="15"/>
      <c r="J25" s="15"/>
      <c r="K25" s="15"/>
      <c r="L25" s="15"/>
      <c r="M25" s="15"/>
      <c r="N25" s="15"/>
    </row>
  </sheetData>
  <pageMargins left="0.7" right="0.7" top="0.75" bottom="0.75" header="0.3" footer="0.3"/>
  <pageSetup paperSize="9"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tabSelected="1" topLeftCell="F1" zoomScale="115" zoomScaleNormal="115" workbookViewId="0">
      <selection activeCell="G7" sqref="G7"/>
    </sheetView>
  </sheetViews>
  <sheetFormatPr defaultRowHeight="14.4"/>
  <cols>
    <col min="1" max="1" width="9.5546875" bestFit="1" customWidth="1"/>
    <col min="2" max="2" width="7.5546875" customWidth="1"/>
    <col min="3" max="4" width="8" customWidth="1"/>
    <col min="5" max="5" width="8.109375" bestFit="1" customWidth="1"/>
    <col min="6" max="6" width="23.21875" customWidth="1"/>
    <col min="7" max="7" width="19" customWidth="1"/>
    <col min="9" max="9" width="17.6640625" bestFit="1" customWidth="1"/>
    <col min="10" max="10" width="16.77734375" customWidth="1"/>
  </cols>
  <sheetData>
    <row r="1" spans="1:10">
      <c r="A1" s="29" t="s">
        <v>8</v>
      </c>
      <c r="B1" s="30" t="s">
        <v>27</v>
      </c>
      <c r="C1" s="30" t="s">
        <v>15</v>
      </c>
      <c r="D1" s="36"/>
      <c r="H1" s="32" t="s">
        <v>28</v>
      </c>
      <c r="I1" s="32" t="s">
        <v>27</v>
      </c>
    </row>
    <row r="2" spans="1:10">
      <c r="A2" s="19" t="s">
        <v>9</v>
      </c>
      <c r="B2" s="20">
        <v>2500</v>
      </c>
      <c r="C2" s="20">
        <v>1900</v>
      </c>
      <c r="D2" s="37"/>
      <c r="E2" s="39">
        <f>C2-B2</f>
        <v>-600</v>
      </c>
      <c r="F2" s="39" t="e">
        <f ca="1">UNIQUE(B2:B7)</f>
        <v>#NAME?</v>
      </c>
      <c r="G2" s="28"/>
      <c r="H2" s="22" t="s">
        <v>10</v>
      </c>
      <c r="I2" s="23">
        <f>IFERROR(VLOOKUP(H2,A1:B6,2,FALSE),"Person doesn't exist")</f>
        <v>2800</v>
      </c>
    </row>
    <row r="3" spans="1:10" ht="57.6">
      <c r="A3" s="22" t="s">
        <v>10</v>
      </c>
      <c r="B3" s="23">
        <v>2800</v>
      </c>
      <c r="C3" s="42" t="s">
        <v>30</v>
      </c>
      <c r="D3" s="38"/>
      <c r="E3" s="40">
        <f>SUM(C3)-B3</f>
        <v>-2800</v>
      </c>
      <c r="F3" s="40"/>
      <c r="G3" s="41" t="s">
        <v>31</v>
      </c>
      <c r="H3" s="22" t="s">
        <v>29</v>
      </c>
      <c r="I3" s="23" t="str">
        <f>IFERROR(VLOOKUP(H3,A2:B7,2,FALSE),"Person doesn't exist")</f>
        <v>Person doesn't exist</v>
      </c>
      <c r="J3" s="50" t="s">
        <v>34</v>
      </c>
    </row>
    <row r="4" spans="1:10">
      <c r="A4" s="22" t="s">
        <v>11</v>
      </c>
      <c r="B4" s="23">
        <v>2500</v>
      </c>
      <c r="C4" s="23">
        <v>3200</v>
      </c>
      <c r="D4" s="37"/>
      <c r="E4" s="40">
        <f>C4-B4</f>
        <v>700</v>
      </c>
      <c r="F4" s="40"/>
      <c r="G4" s="28"/>
      <c r="H4" s="22" t="s">
        <v>13</v>
      </c>
      <c r="I4" s="23">
        <f>IFERROR(VLOOKUP(H4,A3:B8,2,FALSE),"Person doesn't exist")</f>
        <v>2500</v>
      </c>
    </row>
    <row r="5" spans="1:10">
      <c r="A5" s="22" t="s">
        <v>12</v>
      </c>
      <c r="B5" s="23">
        <v>1500</v>
      </c>
      <c r="C5" s="23">
        <v>1400</v>
      </c>
      <c r="D5" s="37"/>
      <c r="E5" s="39">
        <f t="shared" ref="E5:E7" si="0">C5-B5</f>
        <v>-100</v>
      </c>
      <c r="F5" s="39"/>
      <c r="G5" s="28"/>
      <c r="I5" s="23"/>
    </row>
    <row r="6" spans="1:10">
      <c r="A6" s="22" t="s">
        <v>13</v>
      </c>
      <c r="B6" s="23">
        <v>2500</v>
      </c>
      <c r="C6" s="23">
        <v>2400</v>
      </c>
      <c r="D6" s="37"/>
      <c r="E6" s="39">
        <f t="shared" si="0"/>
        <v>-100</v>
      </c>
      <c r="F6" s="39"/>
      <c r="G6" s="28"/>
      <c r="I6" s="23"/>
    </row>
    <row r="7" spans="1:10">
      <c r="A7" s="22" t="s">
        <v>14</v>
      </c>
      <c r="B7" s="23">
        <v>6500</v>
      </c>
      <c r="C7" s="42">
        <v>7000</v>
      </c>
      <c r="D7" s="38"/>
      <c r="E7" s="39">
        <f t="shared" si="0"/>
        <v>500</v>
      </c>
      <c r="F7" s="39"/>
      <c r="G7" s="28"/>
      <c r="I7" s="23"/>
    </row>
    <row r="8" spans="1:10">
      <c r="A8" s="22"/>
      <c r="B8" s="23">
        <f>SUM(B2:B7)</f>
        <v>18300</v>
      </c>
      <c r="C8" s="23">
        <f>SUM(C2:C7)</f>
        <v>15900</v>
      </c>
      <c r="D8" s="37"/>
    </row>
    <row r="9" spans="1:10">
      <c r="A9" s="22"/>
      <c r="B9" s="28"/>
    </row>
    <row r="10" spans="1:10">
      <c r="A10" s="22"/>
      <c r="B10" s="28"/>
    </row>
    <row r="11" spans="1:10">
      <c r="B11" s="28"/>
    </row>
    <row r="12" spans="1:10">
      <c r="B12" s="28"/>
    </row>
    <row r="13" spans="1:10">
      <c r="B13" s="28"/>
    </row>
    <row r="14" spans="1:10">
      <c r="B14" s="28"/>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8"/>
  <sheetViews>
    <sheetView workbookViewId="0">
      <selection activeCell="I2" sqref="I2"/>
    </sheetView>
  </sheetViews>
  <sheetFormatPr defaultRowHeight="14.4"/>
  <cols>
    <col min="1" max="1" width="10" bestFit="1" customWidth="1"/>
    <col min="2" max="3" width="6.5546875" customWidth="1"/>
    <col min="4" max="4" width="8.5546875" bestFit="1" customWidth="1"/>
    <col min="5" max="5" width="18.44140625" bestFit="1" customWidth="1"/>
    <col min="6" max="6" width="17.33203125" bestFit="1" customWidth="1"/>
  </cols>
  <sheetData>
    <row r="2" spans="1:6">
      <c r="A2" s="46" t="s">
        <v>8</v>
      </c>
      <c r="B2" s="47" t="s">
        <v>27</v>
      </c>
      <c r="C2" s="47" t="s">
        <v>15</v>
      </c>
      <c r="D2" s="48" t="s">
        <v>26</v>
      </c>
      <c r="E2" s="49" t="s">
        <v>32</v>
      </c>
      <c r="F2" s="49" t="s">
        <v>33</v>
      </c>
    </row>
    <row r="3" spans="1:6">
      <c r="A3" s="43" t="s">
        <v>9</v>
      </c>
      <c r="B3" s="44">
        <v>2500</v>
      </c>
      <c r="C3" s="44">
        <v>1900</v>
      </c>
      <c r="D3" s="45">
        <f>B3-C3</f>
        <v>600</v>
      </c>
      <c r="E3" s="31">
        <f>IFERROR((B3-C3)/C3,"")</f>
        <v>0.31578947368421051</v>
      </c>
      <c r="F3" s="31">
        <f>IFERROR(D3/C3,"")</f>
        <v>0.31578947368421051</v>
      </c>
    </row>
    <row r="4" spans="1:6">
      <c r="A4" s="22" t="s">
        <v>10</v>
      </c>
      <c r="B4" s="23">
        <v>2800</v>
      </c>
      <c r="C4" s="24"/>
      <c r="D4" s="27">
        <f>B4-C4</f>
        <v>2800</v>
      </c>
      <c r="E4" s="31" t="e">
        <f>(B4-C4)/C4</f>
        <v>#DIV/0!</v>
      </c>
      <c r="F4" s="31" t="str">
        <f t="shared" ref="F4:F8" si="0">IFERROR(D4/C4,"")</f>
        <v/>
      </c>
    </row>
    <row r="5" spans="1:6">
      <c r="A5" s="22" t="s">
        <v>11</v>
      </c>
      <c r="B5" s="23">
        <v>3500</v>
      </c>
      <c r="C5" s="23">
        <v>3200</v>
      </c>
      <c r="D5" s="26">
        <f t="shared" ref="D5:D8" si="1">B5-C5</f>
        <v>300</v>
      </c>
      <c r="E5" s="31">
        <f t="shared" ref="E5:E8" si="2">(B5-C5)/C5</f>
        <v>9.375E-2</v>
      </c>
      <c r="F5" s="31">
        <f t="shared" si="0"/>
        <v>9.375E-2</v>
      </c>
    </row>
    <row r="6" spans="1:6">
      <c r="A6" s="22" t="s">
        <v>12</v>
      </c>
      <c r="B6" s="23">
        <v>1500</v>
      </c>
      <c r="C6" s="23">
        <v>1400</v>
      </c>
      <c r="D6" s="26">
        <f t="shared" si="1"/>
        <v>100</v>
      </c>
      <c r="E6" s="31">
        <f t="shared" si="2"/>
        <v>7.1428571428571425E-2</v>
      </c>
      <c r="F6" s="31">
        <f t="shared" si="0"/>
        <v>7.1428571428571425E-2</v>
      </c>
    </row>
    <row r="7" spans="1:6">
      <c r="A7" s="22" t="s">
        <v>13</v>
      </c>
      <c r="B7" s="23">
        <v>5900</v>
      </c>
      <c r="C7" s="23"/>
      <c r="D7" s="26">
        <f t="shared" si="1"/>
        <v>5900</v>
      </c>
      <c r="E7" s="31" t="e">
        <f t="shared" si="2"/>
        <v>#DIV/0!</v>
      </c>
      <c r="F7" s="31" t="str">
        <f t="shared" si="0"/>
        <v/>
      </c>
    </row>
    <row r="8" spans="1:6">
      <c r="A8" s="22" t="s">
        <v>14</v>
      </c>
      <c r="B8" s="23">
        <v>6500</v>
      </c>
      <c r="C8" s="24">
        <v>7000</v>
      </c>
      <c r="D8" s="26">
        <f t="shared" si="1"/>
        <v>-500</v>
      </c>
      <c r="E8" s="31">
        <f t="shared" si="2"/>
        <v>-7.1428571428571425E-2</v>
      </c>
      <c r="F8" s="31">
        <f t="shared" si="0"/>
        <v>-7.1428571428571425E-2</v>
      </c>
    </row>
    <row r="9" spans="1:6">
      <c r="A9" s="22"/>
      <c r="B9" s="23"/>
      <c r="C9" s="23"/>
      <c r="D9" s="21"/>
    </row>
    <row r="11" spans="1:6">
      <c r="A11" s="18" t="s">
        <v>16</v>
      </c>
      <c r="B11" s="33" t="s">
        <v>17</v>
      </c>
      <c r="C11" s="33"/>
      <c r="D11" s="33"/>
      <c r="E11" s="33"/>
      <c r="F11" s="33"/>
    </row>
    <row r="12" spans="1:6">
      <c r="A12" s="25" t="e">
        <v>#DIV/0!</v>
      </c>
      <c r="B12" s="34" t="s">
        <v>18</v>
      </c>
      <c r="C12" s="35"/>
      <c r="D12" s="35"/>
      <c r="E12" s="35"/>
      <c r="F12" s="35"/>
    </row>
    <row r="13" spans="1:6">
      <c r="A13" s="25" t="e">
        <v>#VALUE!</v>
      </c>
      <c r="B13" s="34" t="s">
        <v>19</v>
      </c>
      <c r="C13" s="35"/>
      <c r="D13" s="35"/>
      <c r="E13" s="35"/>
      <c r="F13" s="35"/>
    </row>
    <row r="14" spans="1:6">
      <c r="A14" s="25" t="e">
        <v>#REF!</v>
      </c>
      <c r="B14" s="34" t="s">
        <v>20</v>
      </c>
      <c r="C14" s="35"/>
      <c r="D14" s="35"/>
      <c r="E14" s="35"/>
      <c r="F14" s="35"/>
    </row>
    <row r="15" spans="1:6">
      <c r="A15" s="25" t="e">
        <v>#NAME?</v>
      </c>
      <c r="B15" s="34" t="s">
        <v>21</v>
      </c>
      <c r="C15" s="35"/>
      <c r="D15" s="35"/>
      <c r="E15" s="35"/>
      <c r="F15" s="35"/>
    </row>
    <row r="16" spans="1:6">
      <c r="A16" s="25" t="s">
        <v>22</v>
      </c>
      <c r="B16" s="34" t="s">
        <v>23</v>
      </c>
      <c r="C16" s="35"/>
      <c r="D16" s="35"/>
      <c r="E16" s="35"/>
      <c r="F16" s="35"/>
    </row>
    <row r="17" spans="1:6">
      <c r="A17" s="25" t="e">
        <v>#NULL!</v>
      </c>
      <c r="B17" s="34" t="s">
        <v>24</v>
      </c>
      <c r="C17" s="35"/>
      <c r="D17" s="35"/>
      <c r="E17" s="35"/>
      <c r="F17" s="35"/>
    </row>
    <row r="18" spans="1:6">
      <c r="A18" s="25" t="e">
        <v>#NUM!</v>
      </c>
      <c r="B18" s="34" t="s">
        <v>25</v>
      </c>
      <c r="C18" s="35"/>
      <c r="D18" s="35"/>
      <c r="E18" s="35"/>
      <c r="F18"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978176D7B6BC41934141C52985821B" ma:contentTypeVersion="13" ma:contentTypeDescription="Create a new document." ma:contentTypeScope="" ma:versionID="c6e8443be73ff3260557f2d6d90526a4">
  <xsd:schema xmlns:xsd="http://www.w3.org/2001/XMLSchema" xmlns:xs="http://www.w3.org/2001/XMLSchema" xmlns:p="http://schemas.microsoft.com/office/2006/metadata/properties" xmlns:ns2="8602ebc8-99ea-4c12-aabd-36e02eea0ec4" xmlns:ns3="8ea0a048-5e79-414d-a984-5fa877d55858" targetNamespace="http://schemas.microsoft.com/office/2006/metadata/properties" ma:root="true" ma:fieldsID="c5c729a2ae59743da14ecce0d39e1421" ns2:_="" ns3:_="">
    <xsd:import namespace="8602ebc8-99ea-4c12-aabd-36e02eea0ec4"/>
    <xsd:import namespace="8ea0a048-5e79-414d-a984-5fa877d5585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02ebc8-99ea-4c12-aabd-36e02eea0e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a0a048-5e79-414d-a984-5fa877d5585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B8EFAF-5979-4C50-B8E6-B6C8EE00A61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D88D1E5-AC8B-45B6-A9E6-D435C9C50C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02ebc8-99ea-4c12-aabd-36e02eea0ec4"/>
    <ds:schemaRef ds:uri="8ea0a048-5e79-414d-a984-5fa877d558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16FD00-EC9C-40C0-9B44-2770696DD3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More --&gt;</vt:lpstr>
      <vt:lpstr>1</vt:lpstr>
      <vt:lpstr>2</vt:lpstr>
    </vt:vector>
  </TitlesOfParts>
  <Company>XelPlus e.U.</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Leila Gharani</dc:creator>
  <dc:description>www.xelplus.com</dc:description>
  <cp:lastModifiedBy>Mic</cp:lastModifiedBy>
  <dcterms:created xsi:type="dcterms:W3CDTF">2018-09-11T10:37:47Z</dcterms:created>
  <dcterms:modified xsi:type="dcterms:W3CDTF">2026-02-26T09:20:10Z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0x010100CF978176D7B6BC41934141C52985821B</vt:lpwstr>
  </property>
</Properties>
</file>