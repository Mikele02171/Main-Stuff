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codeName="ThisWorkbook" defaultThemeVersion="124226"/>
  <bookViews>
    <workbookView xWindow="-108" yWindow="-108" windowWidth="16500" windowHeight="5952" tabRatio="669" activeTab="2"/>
  </bookViews>
  <sheets>
    <sheet name="More --&gt;" sheetId="28" r:id="rId1"/>
    <sheet name="F4 - Before" sheetId="27" r:id="rId2"/>
    <sheet name="F4 - After" sheetId="15" r:id="rId3"/>
  </sheets>
  <definedNames>
    <definedName name="back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27" l="1"/>
  <c r="E40" i="27"/>
  <c r="J8" i="27" l="1"/>
  <c r="J5" i="27"/>
  <c r="J6" i="27"/>
  <c r="H35" i="27" l="1"/>
  <c r="G35" i="27"/>
  <c r="F35" i="27"/>
  <c r="E35" i="27"/>
  <c r="D35" i="27"/>
  <c r="C35" i="27"/>
  <c r="B35" i="27"/>
  <c r="D10" i="27"/>
  <c r="D9" i="27"/>
  <c r="D8" i="27"/>
  <c r="D7" i="27"/>
  <c r="D6" i="27"/>
  <c r="D5" i="27"/>
  <c r="D4" i="27"/>
  <c r="J8" i="15" l="1"/>
  <c r="E40" i="15" l="1"/>
  <c r="H35" i="15"/>
  <c r="G35" i="15"/>
  <c r="F35" i="15"/>
  <c r="E35" i="15"/>
  <c r="D35" i="15"/>
  <c r="C35" i="15"/>
  <c r="E39" i="15" s="1"/>
  <c r="B35" i="15"/>
  <c r="J6" i="15" l="1"/>
  <c r="D5" i="15" l="1"/>
  <c r="D6" i="15"/>
  <c r="D7" i="15"/>
  <c r="D8" i="15"/>
  <c r="D9" i="15"/>
  <c r="D10" i="15"/>
  <c r="D4" i="15"/>
  <c r="J5" i="15" s="1"/>
</calcChain>
</file>

<file path=xl/sharedStrings.xml><?xml version="1.0" encoding="utf-8"?>
<sst xmlns="http://schemas.openxmlformats.org/spreadsheetml/2006/main" count="254" uniqueCount="67">
  <si>
    <t>Price</t>
  </si>
  <si>
    <t>Agent A</t>
  </si>
  <si>
    <t>Agent B</t>
  </si>
  <si>
    <t>Agent C</t>
  </si>
  <si>
    <t>Agent D</t>
  </si>
  <si>
    <t>Agent E</t>
  </si>
  <si>
    <t>Agent F</t>
  </si>
  <si>
    <t>Agent G</t>
  </si>
  <si>
    <t>Sales Agent</t>
  </si>
  <si>
    <t>Quantity</t>
  </si>
  <si>
    <t>Revenue</t>
  </si>
  <si>
    <t>Customer A</t>
  </si>
  <si>
    <t>Customer B</t>
  </si>
  <si>
    <t>Customer C</t>
  </si>
  <si>
    <t>Customer D</t>
  </si>
  <si>
    <t>Customer E</t>
  </si>
  <si>
    <t>Customer F</t>
  </si>
  <si>
    <t>Customer G</t>
  </si>
  <si>
    <t>Customer H</t>
  </si>
  <si>
    <t>Customer I</t>
  </si>
  <si>
    <t>Customer J</t>
  </si>
  <si>
    <t>Customer K</t>
  </si>
  <si>
    <t>VLOOKUP &amp; HLOOKUP</t>
  </si>
  <si>
    <t>Agent I</t>
  </si>
  <si>
    <t>Agent J</t>
  </si>
  <si>
    <t>Agent K</t>
  </si>
  <si>
    <t>Agent L</t>
  </si>
  <si>
    <t>Agent M</t>
  </si>
  <si>
    <t>Agent N</t>
  </si>
  <si>
    <t>Agent O</t>
  </si>
  <si>
    <t>Agent P</t>
  </si>
  <si>
    <t>Agent Q</t>
  </si>
  <si>
    <t>Agent R</t>
  </si>
  <si>
    <t>Agent S</t>
  </si>
  <si>
    <t>Agent T</t>
  </si>
  <si>
    <t>Agent U</t>
  </si>
  <si>
    <t>Agent V</t>
  </si>
  <si>
    <t>Agent W</t>
  </si>
  <si>
    <t>Agent X</t>
  </si>
  <si>
    <t>Agent Y</t>
  </si>
  <si>
    <t>Agent Z</t>
  </si>
  <si>
    <t xml:space="preserve">Customer </t>
  </si>
  <si>
    <t>Customer L</t>
  </si>
  <si>
    <t>Customer M</t>
  </si>
  <si>
    <t>Customer N</t>
  </si>
  <si>
    <t>Customer O</t>
  </si>
  <si>
    <t>Customer P</t>
  </si>
  <si>
    <t>Customer Q</t>
  </si>
  <si>
    <t>Customer R</t>
  </si>
  <si>
    <t>Customer S</t>
  </si>
  <si>
    <t>Customer T</t>
  </si>
  <si>
    <t>Customer U</t>
  </si>
  <si>
    <t>Customer V</t>
  </si>
  <si>
    <t>Customer W</t>
  </si>
  <si>
    <t>Customer X</t>
  </si>
  <si>
    <t>Customer Y</t>
  </si>
  <si>
    <t>Customer Z</t>
  </si>
  <si>
    <t>Agent Report</t>
  </si>
  <si>
    <t>Select Agent:</t>
  </si>
  <si>
    <t>Find Price</t>
  </si>
  <si>
    <t>Find Customer</t>
  </si>
  <si>
    <t>Price Calculated</t>
  </si>
  <si>
    <t xml:space="preserve">Agent H    </t>
  </si>
  <si>
    <t>Free Tutorials</t>
  </si>
  <si>
    <t>Browse through my free Excel tutorials to discover dashboard tips, chart tricks and advanced formula techniques, as well as plenty of productivity hacks.</t>
  </si>
  <si>
    <t>Courses to help you succeed</t>
  </si>
  <si>
    <t>If you'd like to learn Excel in a structured way and in your own time, check out my bestselling courses: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</si>
</sst>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3" fillId="2" borderId="0" xfId="0" applyFont="1" applyFill="1" applyAlignment="1">
      <alignment wrapText="1"/>
    </xf>
    <xf numFmtId="1" fontId="0" fillId="0" borderId="0" xfId="0" applyNumberFormat="1"/>
    <xf numFmtId="0" fontId="0" fillId="4" borderId="0" xfId="0" applyFill="1"/>
    <xf numFmtId="0" fontId="0" fillId="4" borderId="2" xfId="0" applyFill="1" applyBorder="1"/>
    <xf numFmtId="1" fontId="0" fillId="0" borderId="2" xfId="0" applyNumberFormat="1" applyBorder="1"/>
    <xf numFmtId="0" fontId="2" fillId="0" borderId="0" xfId="2"/>
    <xf numFmtId="0" fontId="5" fillId="0" borderId="0" xfId="2" quotePrefix="1" applyFont="1"/>
    <xf numFmtId="0" fontId="6" fillId="0" borderId="0" xfId="2" applyFont="1"/>
    <xf numFmtId="0" fontId="7" fillId="0" borderId="0" xfId="3" applyFill="1" applyBorder="1"/>
    <xf numFmtId="0" fontId="2" fillId="0" borderId="0" xfId="2" applyAlignment="1">
      <alignment wrapText="1"/>
    </xf>
    <xf numFmtId="0" fontId="8" fillId="0" borderId="0" xfId="4" applyFill="1" applyBorder="1"/>
    <xf numFmtId="0" fontId="2" fillId="5" borderId="0" xfId="2" applyFill="1"/>
    <xf numFmtId="0" fontId="2" fillId="6" borderId="0" xfId="2" applyFill="1"/>
    <xf numFmtId="2" fontId="0" fillId="0" borderId="2" xfId="0" applyNumberFormat="1" applyBorder="1"/>
    <xf numFmtId="0" fontId="3" fillId="3" borderId="0" xfId="0" applyFont="1" applyFill="1" applyAlignment="1">
      <alignment horizontal="center"/>
    </xf>
  </cellXfs>
  <cellStyles count="5">
    <cellStyle name="Hyperlink 2" xfId="3"/>
    <cellStyle name="Hyperlink 3" xfId="4"/>
    <cellStyle name="Normal" xfId="0" builtinId="0"/>
    <cellStyle name="Normal 2" xfId="2"/>
    <cellStyle name="Normal 3 15 2" xfId="1"/>
  </cellStyles>
  <dxfs count="14"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9"/>
        <color theme="1"/>
      </font>
      <border diagonalUp="0" diagonalDown="0">
        <left/>
        <right/>
        <top/>
        <bottom/>
        <vertical/>
        <horizontal/>
      </border>
    </dxf>
    <dxf>
      <border>
        <top/>
        <bottom style="thin">
          <color theme="1" tint="0.499984740745262"/>
        </bottom>
      </border>
    </dxf>
    <dxf>
      <border>
        <top/>
        <bottom style="thin">
          <color theme="1" tint="0.499984740745262"/>
        </bottom>
      </border>
    </dxf>
    <dxf>
      <font>
        <b/>
        <color theme="1" tint="0.499984740745262"/>
      </font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  <border>
        <bottom style="medium">
          <color auto="1"/>
        </bottom>
        <horizontal style="medium">
          <color auto="1"/>
        </horizontal>
      </border>
    </dxf>
    <dxf>
      <border diagonalUp="0" diagonalDown="0">
        <left/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medium">
          <color theme="1"/>
        </top>
        <bottom style="medium">
          <color theme="1"/>
        </bottom>
      </border>
    </dxf>
    <dxf>
      <font>
        <b/>
        <color theme="1"/>
      </font>
      <border>
        <top/>
        <bottom style="medium">
          <color theme="1"/>
        </bottom>
        <vertical/>
      </border>
    </dxf>
    <dxf>
      <font>
        <color theme="1"/>
      </font>
      <border>
        <vertical style="double">
          <color theme="0"/>
        </vertical>
        <horizontal style="thin">
          <color theme="0" tint="-0.14999847407452621"/>
        </horizontal>
      </border>
    </dxf>
  </dxfs>
  <tableStyles count="2" defaultTableStyle="TableStyleMedium2" defaultPivotStyle="PivotStyleLight16">
    <tableStyle name="PivotFancy" table="0" count="12">
      <tableStyleElement type="wholeTable" dxfId="13"/>
      <tableStyleElement type="headerRow" dxfId="12"/>
      <tableStyleElement type="totalRow" dxfId="11"/>
      <tableStyleElement type="firstRowStripe" dxfId="10"/>
      <tableStyleElement type="firstColumnStripe" dxfId="9"/>
      <tableStyleElement type="firstHeaderCell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  <tableStyle name="Slicerwithoutborder" pivot="0" table="0" count="10">
      <tableStyleElement type="wholeTable" dxfId="1"/>
      <tableStyleElement type="headerRow" dxfId="0"/>
    </tableStyle>
  </tableStyles>
  <colors>
    <mruColors>
      <color rgb="FFFFFF8F"/>
      <color rgb="FFFFFF00"/>
      <color rgb="FFFABA8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withoutbord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24740</xdr:colOff>
      <xdr:row>9</xdr:row>
      <xdr:rowOff>30360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="" xmlns:a16="http://schemas.microsoft.com/office/drawing/2014/main" id="{58615691-842C-4A1C-A272-26A745C83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17870" cy="2489542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886FFDA7-CD2E-4265-B049-9B3E00D6D2DA}"/>
            </a:ext>
          </a:extLst>
        </xdr:cNvPr>
        <xdr:cNvSpPr txBox="1"/>
      </xdr:nvSpPr>
      <xdr:spPr>
        <a:xfrm>
          <a:off x="219075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6</xdr:row>
      <xdr:rowOff>35860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59259378-003A-4A50-9136-C5A7B0707B2B}"/>
            </a:ext>
          </a:extLst>
        </xdr:cNvPr>
        <xdr:cNvSpPr/>
      </xdr:nvSpPr>
      <xdr:spPr>
        <a:xfrm>
          <a:off x="7466649" y="1212198"/>
          <a:ext cx="3346268" cy="1349348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C28BB25-99A5-4F8B-A1C8-08B7E94233E9}"/>
            </a:ext>
          </a:extLst>
        </xdr:cNvPr>
        <xdr:cNvSpPr/>
      </xdr:nvSpPr>
      <xdr:spPr>
        <a:xfrm>
          <a:off x="5753100" y="2718707"/>
          <a:ext cx="5092474" cy="220639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22860</xdr:colOff>
      <xdr:row>0</xdr:row>
      <xdr:rowOff>38100</xdr:rowOff>
    </xdr:from>
    <xdr:to>
      <xdr:col>13</xdr:col>
      <xdr:colOff>114300</xdr:colOff>
      <xdr:row>4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95D82A2F-E3CB-46E5-A709-8012D6CBF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276148" y="38100"/>
          <a:ext cx="3710940" cy="902297"/>
        </a:xfrm>
        <a:prstGeom prst="rect">
          <a:avLst/>
        </a:prstGeom>
      </xdr:spPr>
    </xdr:pic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170329</xdr:colOff>
      <xdr:row>19</xdr:row>
      <xdr:rowOff>171611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="" xmlns:a16="http://schemas.microsoft.com/office/drawing/2014/main" id="{2D5C18D1-C2ED-4B1F-B0D9-4E29E6C8F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49680" y="4262438"/>
          <a:ext cx="2093437" cy="714536"/>
        </a:xfrm>
        <a:prstGeom prst="rect">
          <a:avLst/>
        </a:prstGeom>
      </xdr:spPr>
    </xdr:pic>
    <xdr:clientData/>
  </xdr:twoCellAnchor>
  <xdr:twoCellAnchor>
    <xdr:from>
      <xdr:col>2</xdr:col>
      <xdr:colOff>7621</xdr:colOff>
      <xdr:row>12</xdr:row>
      <xdr:rowOff>99060</xdr:rowOff>
    </xdr:from>
    <xdr:to>
      <xdr:col>2</xdr:col>
      <xdr:colOff>1836421</xdr:colOff>
      <xdr:row>13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BFD19217-FB19-467E-8B6B-1CD381711B9B}"/>
            </a:ext>
          </a:extLst>
        </xdr:cNvPr>
        <xdr:cNvSpPr/>
      </xdr:nvSpPr>
      <xdr:spPr>
        <a:xfrm>
          <a:off x="336234" y="3199448"/>
          <a:ext cx="1828800" cy="504825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1</xdr:col>
      <xdr:colOff>137161</xdr:colOff>
      <xdr:row>7</xdr:row>
      <xdr:rowOff>175260</xdr:rowOff>
    </xdr:from>
    <xdr:to>
      <xdr:col>2</xdr:col>
      <xdr:colOff>1752601</xdr:colOff>
      <xdr:row>8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2DA3AC52-F08D-4A9D-9DF3-9F42CDB79A7C}"/>
            </a:ext>
          </a:extLst>
        </xdr:cNvPr>
        <xdr:cNvSpPr/>
      </xdr:nvSpPr>
      <xdr:spPr>
        <a:xfrm>
          <a:off x="241936" y="1646873"/>
          <a:ext cx="1839278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3C99F8EE-0EF9-4676-AFA3-3B3CAAFCA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02015" y="1280509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59B953AF-DB25-4EC0-906A-AF66372C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48511" y="2829334"/>
          <a:ext cx="203289" cy="166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4"/>
  <sheetViews>
    <sheetView showGridLines="0" zoomScale="110" zoomScaleNormal="110" workbookViewId="0">
      <selection activeCell="C17" sqref="C17"/>
    </sheetView>
  </sheetViews>
  <sheetFormatPr defaultColWidth="0" defaultRowHeight="14.25" customHeight="1" zeroHeight="1"/>
  <cols>
    <col min="1" max="1" width="1.44140625" style="15" customWidth="1"/>
    <col min="2" max="2" width="3.109375" style="15" customWidth="1"/>
    <col min="3" max="3" width="69.5546875" style="15" customWidth="1"/>
    <col min="4" max="6" width="9.109375" style="15" customWidth="1"/>
    <col min="7" max="11" width="9.109375" style="16" customWidth="1"/>
    <col min="12" max="12" width="2.33203125" style="16" customWidth="1"/>
    <col min="13" max="13" width="2.6640625" style="16" customWidth="1"/>
    <col min="14" max="14" width="2.44140625" style="16" customWidth="1"/>
    <col min="15" max="16384" width="9.109375" style="15" hidden="1"/>
  </cols>
  <sheetData>
    <row r="1" spans="2:6" s="9" customFormat="1" ht="14.4"/>
    <row r="2" spans="2:6" s="9" customFormat="1" ht="14.4"/>
    <row r="3" spans="2:6" s="9" customFormat="1" ht="14.4"/>
    <row r="4" spans="2:6" s="9" customFormat="1" ht="22.35" customHeight="1"/>
    <row r="5" spans="2:6" s="9" customFormat="1" ht="18">
      <c r="B5" s="10"/>
      <c r="C5" s="11" t="s">
        <v>63</v>
      </c>
    </row>
    <row r="6" spans="2:6" s="9" customFormat="1" ht="10.050000000000001" customHeight="1">
      <c r="C6" s="12"/>
      <c r="D6" s="12"/>
      <c r="E6" s="12"/>
    </row>
    <row r="7" spans="2:6" s="9" customFormat="1" ht="28.8" customHeight="1">
      <c r="C7" s="13" t="s">
        <v>64</v>
      </c>
    </row>
    <row r="8" spans="2:6" s="9" customFormat="1" ht="30" customHeight="1">
      <c r="C8" s="13"/>
    </row>
    <row r="9" spans="2:6" s="9" customFormat="1" ht="41.55" customHeight="1">
      <c r="C9" s="13"/>
    </row>
    <row r="10" spans="2:6" s="9" customFormat="1" ht="21" customHeight="1">
      <c r="C10" s="11" t="s">
        <v>65</v>
      </c>
    </row>
    <row r="11" spans="2:6" s="9" customFormat="1" ht="6" customHeight="1">
      <c r="C11" s="14"/>
      <c r="D11" s="12"/>
      <c r="E11" s="12"/>
      <c r="F11" s="12"/>
    </row>
    <row r="12" spans="2:6" s="9" customFormat="1" ht="30" customHeight="1">
      <c r="C12" s="13" t="s">
        <v>66</v>
      </c>
    </row>
    <row r="13" spans="2:6" s="9" customFormat="1" ht="39.75" customHeight="1"/>
    <row r="14" spans="2:6" s="9" customFormat="1" ht="17.25" customHeight="1">
      <c r="C14" s="14"/>
      <c r="E14" s="12"/>
      <c r="F14" s="12"/>
    </row>
    <row r="15" spans="2:6" s="9" customFormat="1" ht="24.75" customHeight="1">
      <c r="C15" s="11"/>
    </row>
    <row r="16" spans="2:6" s="9" customFormat="1" ht="10.050000000000001" customHeight="1"/>
    <row r="17" spans="1:14" s="9" customFormat="1" ht="14.4">
      <c r="C17" s="13"/>
    </row>
    <row r="18" spans="1:14" s="9" customFormat="1" ht="14.4"/>
    <row r="19" spans="1:14" s="9" customFormat="1" ht="14.4"/>
    <row r="20" spans="1:14" s="9" customFormat="1" ht="14.4">
      <c r="C20" s="14"/>
      <c r="D20" s="12"/>
      <c r="E20" s="12"/>
      <c r="F20" s="12"/>
    </row>
    <row r="21" spans="1:14" s="9" customFormat="1" ht="14.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s="9" customFormat="1" ht="14.4">
      <c r="A22" s="15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</row>
    <row r="23" spans="1:14" s="9" customFormat="1" ht="14.4">
      <c r="A23" s="15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</row>
    <row r="24" spans="1:14" ht="14.4"/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AA40"/>
  <sheetViews>
    <sheetView topLeftCell="A28" zoomScale="110" zoomScaleNormal="110" workbookViewId="0">
      <selection activeCell="F39" sqref="F39"/>
    </sheetView>
  </sheetViews>
  <sheetFormatPr defaultColWidth="9" defaultRowHeight="14.4"/>
  <cols>
    <col min="1" max="1" width="10.88671875" customWidth="1"/>
    <col min="4" max="4" width="13.33203125" bestFit="1" customWidth="1"/>
    <col min="5" max="5" width="11" customWidth="1"/>
    <col min="6" max="6" width="10.109375" customWidth="1"/>
    <col min="7" max="7" width="5.6640625" customWidth="1"/>
    <col min="9" max="9" width="15.88671875" bestFit="1" customWidth="1"/>
    <col min="10" max="10" width="12.6640625" bestFit="1" customWidth="1"/>
  </cols>
  <sheetData>
    <row r="1" spans="1:10" ht="16.5" customHeight="1">
      <c r="A1" s="1" t="s">
        <v>22</v>
      </c>
      <c r="B1" s="2"/>
      <c r="C1" s="2"/>
      <c r="D1" s="2"/>
      <c r="E1" s="2"/>
      <c r="F1" s="2"/>
      <c r="G1" s="2"/>
      <c r="H1" s="2"/>
    </row>
    <row r="3" spans="1:10">
      <c r="A3" s="4" t="s">
        <v>8</v>
      </c>
      <c r="B3" s="4" t="s">
        <v>9</v>
      </c>
      <c r="C3" s="4" t="s">
        <v>10</v>
      </c>
      <c r="D3" s="4" t="s">
        <v>0</v>
      </c>
      <c r="E3" s="4" t="s">
        <v>41</v>
      </c>
      <c r="I3" s="18" t="s">
        <v>57</v>
      </c>
      <c r="J3" s="18"/>
    </row>
    <row r="4" spans="1:10">
      <c r="A4" t="s">
        <v>1</v>
      </c>
      <c r="B4">
        <v>5</v>
      </c>
      <c r="C4">
        <v>200</v>
      </c>
      <c r="D4" s="5">
        <f>C4/B4</f>
        <v>40</v>
      </c>
      <c r="E4" s="5" t="s">
        <v>11</v>
      </c>
      <c r="I4" s="6" t="s">
        <v>58</v>
      </c>
      <c r="J4" s="7" t="s">
        <v>40</v>
      </c>
    </row>
    <row r="5" spans="1:10">
      <c r="A5" t="s">
        <v>2</v>
      </c>
      <c r="B5">
        <v>6</v>
      </c>
      <c r="C5">
        <v>300</v>
      </c>
      <c r="D5" s="5">
        <f t="shared" ref="D5:D10" si="0">C5/B5</f>
        <v>50</v>
      </c>
      <c r="E5" s="5" t="s">
        <v>12</v>
      </c>
      <c r="I5" t="s">
        <v>59</v>
      </c>
      <c r="J5" s="17">
        <f>VLOOKUP(J4,A4:E29,4,FALSE)</f>
        <v>34</v>
      </c>
    </row>
    <row r="6" spans="1:10">
      <c r="A6" t="s">
        <v>3</v>
      </c>
      <c r="B6">
        <v>1</v>
      </c>
      <c r="C6">
        <v>50</v>
      </c>
      <c r="D6" s="5">
        <f t="shared" si="0"/>
        <v>50</v>
      </c>
      <c r="E6" s="5" t="s">
        <v>13</v>
      </c>
      <c r="I6" t="s">
        <v>60</v>
      </c>
      <c r="J6" s="3" t="str">
        <f>VLOOKUP(J4,A4:E29,5,FALSE)</f>
        <v>Customer Z</v>
      </c>
    </row>
    <row r="7" spans="1:10">
      <c r="A7" t="s">
        <v>4</v>
      </c>
      <c r="B7">
        <v>9</v>
      </c>
      <c r="C7">
        <v>350</v>
      </c>
      <c r="D7" s="5">
        <f t="shared" si="0"/>
        <v>38.888888888888886</v>
      </c>
      <c r="E7" s="5" t="s">
        <v>14</v>
      </c>
    </row>
    <row r="8" spans="1:10">
      <c r="A8" t="s">
        <v>5</v>
      </c>
      <c r="B8">
        <v>2</v>
      </c>
      <c r="C8">
        <v>90</v>
      </c>
      <c r="D8" s="5">
        <f t="shared" si="0"/>
        <v>45</v>
      </c>
      <c r="E8" s="5" t="s">
        <v>15</v>
      </c>
      <c r="I8" t="s">
        <v>61</v>
      </c>
      <c r="J8" s="3">
        <f>VLOOKUP(J4,A4:E29,3,FALSE)/VLOOKUP(J4,A4:E29,2,FALSE)</f>
        <v>34</v>
      </c>
    </row>
    <row r="9" spans="1:10">
      <c r="A9" t="s">
        <v>6</v>
      </c>
      <c r="B9">
        <v>3</v>
      </c>
      <c r="C9">
        <v>200</v>
      </c>
      <c r="D9" s="5">
        <f t="shared" si="0"/>
        <v>66.666666666666671</v>
      </c>
      <c r="E9" s="5" t="s">
        <v>16</v>
      </c>
    </row>
    <row r="10" spans="1:10">
      <c r="A10" t="s">
        <v>7</v>
      </c>
      <c r="B10">
        <v>4</v>
      </c>
      <c r="C10">
        <v>350</v>
      </c>
      <c r="D10" s="5">
        <f t="shared" si="0"/>
        <v>87.5</v>
      </c>
      <c r="E10" s="5" t="s">
        <v>17</v>
      </c>
    </row>
    <row r="11" spans="1:10">
      <c r="A11" t="s">
        <v>62</v>
      </c>
      <c r="B11">
        <v>9</v>
      </c>
      <c r="C11">
        <v>333</v>
      </c>
      <c r="D11">
        <v>37</v>
      </c>
      <c r="E11" s="5" t="s">
        <v>18</v>
      </c>
    </row>
    <row r="12" spans="1:10">
      <c r="A12" t="s">
        <v>23</v>
      </c>
      <c r="B12">
        <v>10</v>
      </c>
      <c r="C12">
        <v>410</v>
      </c>
      <c r="D12">
        <v>41</v>
      </c>
      <c r="E12" s="5" t="s">
        <v>19</v>
      </c>
    </row>
    <row r="13" spans="1:10">
      <c r="A13" t="s">
        <v>24</v>
      </c>
      <c r="B13">
        <v>7</v>
      </c>
      <c r="C13">
        <v>280</v>
      </c>
      <c r="D13">
        <v>40</v>
      </c>
      <c r="E13" s="5" t="s">
        <v>20</v>
      </c>
    </row>
    <row r="14" spans="1:10">
      <c r="A14" t="s">
        <v>25</v>
      </c>
      <c r="B14">
        <v>10</v>
      </c>
      <c r="C14">
        <v>320</v>
      </c>
      <c r="D14">
        <v>32</v>
      </c>
      <c r="E14" s="5" t="s">
        <v>21</v>
      </c>
    </row>
    <row r="15" spans="1:10">
      <c r="A15" t="s">
        <v>26</v>
      </c>
      <c r="B15">
        <v>8</v>
      </c>
      <c r="C15">
        <v>272</v>
      </c>
      <c r="D15">
        <v>34</v>
      </c>
      <c r="E15" s="5" t="s">
        <v>42</v>
      </c>
    </row>
    <row r="16" spans="1:10">
      <c r="A16" t="s">
        <v>27</v>
      </c>
      <c r="B16">
        <v>10</v>
      </c>
      <c r="C16">
        <v>300</v>
      </c>
      <c r="D16">
        <v>30</v>
      </c>
      <c r="E16" s="5" t="s">
        <v>43</v>
      </c>
    </row>
    <row r="17" spans="1:27">
      <c r="A17" t="s">
        <v>28</v>
      </c>
      <c r="B17">
        <v>4</v>
      </c>
      <c r="C17">
        <v>168</v>
      </c>
      <c r="D17">
        <v>42</v>
      </c>
      <c r="E17" s="5" t="s">
        <v>44</v>
      </c>
    </row>
    <row r="18" spans="1:27">
      <c r="A18" t="s">
        <v>29</v>
      </c>
      <c r="B18">
        <v>9</v>
      </c>
      <c r="C18">
        <v>279</v>
      </c>
      <c r="D18">
        <v>31</v>
      </c>
      <c r="E18" s="5" t="s">
        <v>45</v>
      </c>
    </row>
    <row r="19" spans="1:27">
      <c r="A19" t="s">
        <v>30</v>
      </c>
      <c r="B19">
        <v>8</v>
      </c>
      <c r="C19">
        <v>320</v>
      </c>
      <c r="D19">
        <v>40</v>
      </c>
      <c r="E19" s="5" t="s">
        <v>46</v>
      </c>
    </row>
    <row r="20" spans="1:27">
      <c r="A20" t="s">
        <v>31</v>
      </c>
      <c r="B20">
        <v>3</v>
      </c>
      <c r="C20">
        <v>144</v>
      </c>
      <c r="D20">
        <v>48</v>
      </c>
      <c r="E20" s="5" t="s">
        <v>47</v>
      </c>
    </row>
    <row r="21" spans="1:27">
      <c r="A21" t="s">
        <v>32</v>
      </c>
      <c r="B21">
        <v>10</v>
      </c>
      <c r="C21">
        <v>380</v>
      </c>
      <c r="D21">
        <v>38</v>
      </c>
      <c r="E21" s="5" t="s">
        <v>48</v>
      </c>
    </row>
    <row r="22" spans="1:27">
      <c r="A22" t="s">
        <v>33</v>
      </c>
      <c r="B22">
        <v>4</v>
      </c>
      <c r="C22">
        <v>192</v>
      </c>
      <c r="D22">
        <v>48</v>
      </c>
      <c r="E22" s="5" t="s">
        <v>49</v>
      </c>
    </row>
    <row r="23" spans="1:27">
      <c r="A23" t="s">
        <v>34</v>
      </c>
      <c r="B23">
        <v>4</v>
      </c>
      <c r="C23">
        <v>160</v>
      </c>
      <c r="D23">
        <v>40</v>
      </c>
      <c r="E23" s="5" t="s">
        <v>50</v>
      </c>
    </row>
    <row r="24" spans="1:27">
      <c r="A24" t="s">
        <v>35</v>
      </c>
      <c r="B24">
        <v>5</v>
      </c>
      <c r="C24">
        <v>155</v>
      </c>
      <c r="D24">
        <v>31</v>
      </c>
      <c r="E24" s="5" t="s">
        <v>51</v>
      </c>
    </row>
    <row r="25" spans="1:27">
      <c r="A25" t="s">
        <v>36</v>
      </c>
      <c r="B25">
        <v>8</v>
      </c>
      <c r="C25">
        <v>352</v>
      </c>
      <c r="D25">
        <v>44</v>
      </c>
      <c r="E25" s="5" t="s">
        <v>52</v>
      </c>
    </row>
    <row r="26" spans="1:27">
      <c r="A26" t="s">
        <v>37</v>
      </c>
      <c r="B26">
        <v>8</v>
      </c>
      <c r="C26">
        <v>400</v>
      </c>
      <c r="D26">
        <v>50</v>
      </c>
      <c r="E26" s="5" t="s">
        <v>53</v>
      </c>
    </row>
    <row r="27" spans="1:27">
      <c r="A27" t="s">
        <v>38</v>
      </c>
      <c r="B27">
        <v>8</v>
      </c>
      <c r="C27">
        <v>280</v>
      </c>
      <c r="D27">
        <v>35</v>
      </c>
      <c r="E27" s="5" t="s">
        <v>54</v>
      </c>
    </row>
    <row r="28" spans="1:27">
      <c r="A28" t="s">
        <v>39</v>
      </c>
      <c r="B28">
        <v>10</v>
      </c>
      <c r="C28">
        <v>350</v>
      </c>
      <c r="D28">
        <v>35</v>
      </c>
      <c r="E28" s="5" t="s">
        <v>55</v>
      </c>
    </row>
    <row r="29" spans="1:27">
      <c r="A29" t="s">
        <v>40</v>
      </c>
      <c r="B29">
        <v>3</v>
      </c>
      <c r="C29">
        <v>102</v>
      </c>
      <c r="D29">
        <v>34</v>
      </c>
      <c r="E29" s="5" t="s">
        <v>56</v>
      </c>
    </row>
    <row r="32" spans="1:27">
      <c r="A32" s="4" t="s">
        <v>8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62</v>
      </c>
      <c r="J32" t="s">
        <v>23</v>
      </c>
      <c r="K32" t="s">
        <v>24</v>
      </c>
      <c r="L32" t="s">
        <v>25</v>
      </c>
      <c r="M32" t="s">
        <v>26</v>
      </c>
      <c r="N32" t="s">
        <v>27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 t="s">
        <v>33</v>
      </c>
      <c r="U32" t="s">
        <v>34</v>
      </c>
      <c r="V32" t="s">
        <v>35</v>
      </c>
      <c r="W32" t="s">
        <v>36</v>
      </c>
      <c r="X32" t="s">
        <v>37</v>
      </c>
      <c r="Y32" t="s">
        <v>38</v>
      </c>
      <c r="Z32" t="s">
        <v>39</v>
      </c>
      <c r="AA32" t="s">
        <v>40</v>
      </c>
    </row>
    <row r="33" spans="1:27">
      <c r="A33" s="4" t="s">
        <v>9</v>
      </c>
      <c r="B33">
        <v>5</v>
      </c>
      <c r="C33">
        <v>6</v>
      </c>
      <c r="D33">
        <v>1</v>
      </c>
      <c r="E33">
        <v>9</v>
      </c>
      <c r="F33">
        <v>2</v>
      </c>
      <c r="G33">
        <v>3</v>
      </c>
      <c r="H33">
        <v>4</v>
      </c>
      <c r="I33">
        <v>9</v>
      </c>
      <c r="J33">
        <v>10</v>
      </c>
      <c r="K33">
        <v>7</v>
      </c>
      <c r="L33">
        <v>10</v>
      </c>
      <c r="M33">
        <v>8</v>
      </c>
      <c r="N33">
        <v>10</v>
      </c>
      <c r="O33">
        <v>4</v>
      </c>
      <c r="P33">
        <v>9</v>
      </c>
      <c r="Q33">
        <v>8</v>
      </c>
      <c r="R33">
        <v>3</v>
      </c>
      <c r="S33">
        <v>10</v>
      </c>
      <c r="T33">
        <v>4</v>
      </c>
      <c r="U33">
        <v>4</v>
      </c>
      <c r="V33">
        <v>5</v>
      </c>
      <c r="W33">
        <v>8</v>
      </c>
      <c r="X33">
        <v>8</v>
      </c>
      <c r="Y33">
        <v>8</v>
      </c>
      <c r="Z33">
        <v>10</v>
      </c>
      <c r="AA33">
        <v>3</v>
      </c>
    </row>
    <row r="34" spans="1:27">
      <c r="A34" s="4" t="s">
        <v>10</v>
      </c>
      <c r="B34">
        <v>200</v>
      </c>
      <c r="C34">
        <v>300</v>
      </c>
      <c r="D34">
        <v>50</v>
      </c>
      <c r="E34">
        <v>350</v>
      </c>
      <c r="F34">
        <v>90</v>
      </c>
      <c r="G34">
        <v>200</v>
      </c>
      <c r="H34">
        <v>350</v>
      </c>
      <c r="I34">
        <v>333</v>
      </c>
      <c r="J34">
        <v>410</v>
      </c>
      <c r="K34">
        <v>280</v>
      </c>
      <c r="L34">
        <v>320</v>
      </c>
      <c r="M34">
        <v>272</v>
      </c>
      <c r="N34">
        <v>300</v>
      </c>
      <c r="O34">
        <v>168</v>
      </c>
      <c r="P34">
        <v>279</v>
      </c>
      <c r="Q34">
        <v>320</v>
      </c>
      <c r="R34">
        <v>144</v>
      </c>
      <c r="S34">
        <v>380</v>
      </c>
      <c r="T34">
        <v>192</v>
      </c>
      <c r="U34">
        <v>160</v>
      </c>
      <c r="V34">
        <v>155</v>
      </c>
      <c r="W34">
        <v>352</v>
      </c>
      <c r="X34">
        <v>400</v>
      </c>
      <c r="Y34">
        <v>280</v>
      </c>
      <c r="Z34">
        <v>350</v>
      </c>
      <c r="AA34">
        <v>102</v>
      </c>
    </row>
    <row r="35" spans="1:27">
      <c r="A35" s="4" t="s">
        <v>0</v>
      </c>
      <c r="B35" s="5">
        <f t="shared" ref="B35:H35" si="1">B34/B33</f>
        <v>40</v>
      </c>
      <c r="C35" s="5">
        <f t="shared" si="1"/>
        <v>50</v>
      </c>
      <c r="D35" s="5">
        <f t="shared" si="1"/>
        <v>50</v>
      </c>
      <c r="E35" s="5">
        <f t="shared" si="1"/>
        <v>38.888888888888886</v>
      </c>
      <c r="F35" s="5">
        <f t="shared" si="1"/>
        <v>45</v>
      </c>
      <c r="G35" s="5">
        <f t="shared" si="1"/>
        <v>66.666666666666671</v>
      </c>
      <c r="H35" s="5">
        <f t="shared" si="1"/>
        <v>87.5</v>
      </c>
      <c r="I35">
        <v>37</v>
      </c>
      <c r="J35">
        <v>41</v>
      </c>
      <c r="K35">
        <v>40</v>
      </c>
      <c r="L35">
        <v>32</v>
      </c>
      <c r="M35">
        <v>34</v>
      </c>
      <c r="N35">
        <v>30</v>
      </c>
      <c r="O35">
        <v>42</v>
      </c>
      <c r="P35">
        <v>31</v>
      </c>
      <c r="Q35">
        <v>40</v>
      </c>
      <c r="R35">
        <v>48</v>
      </c>
      <c r="S35">
        <v>38</v>
      </c>
      <c r="T35">
        <v>48</v>
      </c>
      <c r="U35">
        <v>40</v>
      </c>
      <c r="V35">
        <v>31</v>
      </c>
      <c r="W35">
        <v>44</v>
      </c>
      <c r="X35">
        <v>50</v>
      </c>
      <c r="Y35">
        <v>35</v>
      </c>
      <c r="Z35">
        <v>35</v>
      </c>
      <c r="AA35">
        <v>34</v>
      </c>
    </row>
    <row r="36" spans="1:27">
      <c r="A36" s="4" t="s">
        <v>41</v>
      </c>
      <c r="B36" s="5" t="s">
        <v>11</v>
      </c>
      <c r="C36" s="5" t="s">
        <v>12</v>
      </c>
      <c r="D36" s="5" t="s">
        <v>13</v>
      </c>
      <c r="E36" s="5" t="s">
        <v>14</v>
      </c>
      <c r="F36" s="5" t="s">
        <v>15</v>
      </c>
      <c r="G36" s="5" t="s">
        <v>16</v>
      </c>
      <c r="H36" s="5" t="s">
        <v>17</v>
      </c>
      <c r="I36" s="5" t="s">
        <v>18</v>
      </c>
      <c r="J36" s="5" t="s">
        <v>19</v>
      </c>
      <c r="K36" s="5" t="s">
        <v>20</v>
      </c>
      <c r="L36" s="5" t="s">
        <v>21</v>
      </c>
      <c r="M36" s="5" t="s">
        <v>42</v>
      </c>
      <c r="N36" s="5" t="s">
        <v>43</v>
      </c>
      <c r="O36" s="5" t="s">
        <v>44</v>
      </c>
      <c r="P36" s="5" t="s">
        <v>45</v>
      </c>
      <c r="Q36" s="5" t="s">
        <v>46</v>
      </c>
      <c r="R36" s="5" t="s">
        <v>47</v>
      </c>
      <c r="S36" s="5" t="s">
        <v>48</v>
      </c>
      <c r="T36" s="5" t="s">
        <v>49</v>
      </c>
      <c r="U36" s="5" t="s">
        <v>50</v>
      </c>
      <c r="V36" s="5" t="s">
        <v>51</v>
      </c>
      <c r="W36" s="5" t="s">
        <v>52</v>
      </c>
      <c r="X36" s="5" t="s">
        <v>53</v>
      </c>
      <c r="Y36" s="5" t="s">
        <v>54</v>
      </c>
      <c r="Z36" s="5" t="s">
        <v>55</v>
      </c>
      <c r="AA36" s="5" t="s">
        <v>56</v>
      </c>
    </row>
    <row r="38" spans="1:27">
      <c r="D38" s="7" t="s">
        <v>58</v>
      </c>
      <c r="E38" s="7" t="s">
        <v>62</v>
      </c>
    </row>
    <row r="39" spans="1:27">
      <c r="D39" s="3" t="s">
        <v>59</v>
      </c>
      <c r="E39" s="8">
        <f>HLOOKUP(E38,$B$32:$AA$36,4,FALSE)</f>
        <v>37</v>
      </c>
    </row>
    <row r="40" spans="1:27">
      <c r="D40" s="3" t="s">
        <v>60</v>
      </c>
      <c r="E40" s="3" t="str">
        <f>HLOOKUP(E38,$B$32:$AA$36,5,FALSE)</f>
        <v>Customer H</v>
      </c>
    </row>
  </sheetData>
  <mergeCells count="1">
    <mergeCell ref="I3:J3"/>
  </mergeCells>
  <dataValidations count="1">
    <dataValidation type="list" allowBlank="1" showInputMessage="1" showErrorMessage="1" sqref="J4 E38">
      <formula1>$A$4:$A$29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3" tint="0.39997558519241921"/>
  </sheetPr>
  <dimension ref="A1:AA40"/>
  <sheetViews>
    <sheetView tabSelected="1" topLeftCell="A23" zoomScale="110" zoomScaleNormal="110" workbookViewId="0">
      <selection activeCell="H28" sqref="H28"/>
    </sheetView>
  </sheetViews>
  <sheetFormatPr defaultColWidth="9" defaultRowHeight="14.4"/>
  <cols>
    <col min="1" max="1" width="10.88671875" customWidth="1"/>
    <col min="4" max="4" width="12.6640625" customWidth="1"/>
    <col min="5" max="5" width="11" customWidth="1"/>
    <col min="6" max="6" width="10.109375" customWidth="1"/>
    <col min="7" max="7" width="5.6640625" customWidth="1"/>
    <col min="9" max="9" width="15.88671875" bestFit="1" customWidth="1"/>
    <col min="10" max="10" width="12.6640625" bestFit="1" customWidth="1"/>
  </cols>
  <sheetData>
    <row r="1" spans="1:10" ht="16.5" customHeight="1">
      <c r="A1" s="1" t="s">
        <v>22</v>
      </c>
      <c r="B1" s="2"/>
      <c r="C1" s="2"/>
      <c r="D1" s="2"/>
      <c r="E1" s="2"/>
      <c r="F1" s="2"/>
      <c r="G1" s="2"/>
      <c r="H1" s="2"/>
    </row>
    <row r="3" spans="1:10">
      <c r="A3" s="4" t="s">
        <v>8</v>
      </c>
      <c r="B3" s="4" t="s">
        <v>9</v>
      </c>
      <c r="C3" s="4" t="s">
        <v>10</v>
      </c>
      <c r="D3" s="4" t="s">
        <v>0</v>
      </c>
      <c r="E3" s="4" t="s">
        <v>41</v>
      </c>
      <c r="I3" s="18" t="s">
        <v>57</v>
      </c>
      <c r="J3" s="18"/>
    </row>
    <row r="4" spans="1:10">
      <c r="A4" t="s">
        <v>1</v>
      </c>
      <c r="B4">
        <v>5</v>
      </c>
      <c r="C4">
        <v>200</v>
      </c>
      <c r="D4" s="5">
        <f>C4/B4</f>
        <v>40</v>
      </c>
      <c r="E4" s="5" t="s">
        <v>11</v>
      </c>
      <c r="I4" s="6" t="s">
        <v>58</v>
      </c>
      <c r="J4" s="7" t="s">
        <v>1</v>
      </c>
    </row>
    <row r="5" spans="1:10">
      <c r="A5" t="s">
        <v>2</v>
      </c>
      <c r="B5">
        <v>6</v>
      </c>
      <c r="C5">
        <v>300</v>
      </c>
      <c r="D5" s="5">
        <f t="shared" ref="D5:D10" si="0">C5/B5</f>
        <v>50</v>
      </c>
      <c r="E5" s="5" t="s">
        <v>12</v>
      </c>
      <c r="I5" t="s">
        <v>59</v>
      </c>
      <c r="J5" s="3">
        <f>VLOOKUP(J4,A4:E29,4,FALSE)</f>
        <v>40</v>
      </c>
    </row>
    <row r="6" spans="1:10">
      <c r="A6" t="s">
        <v>3</v>
      </c>
      <c r="B6">
        <v>1</v>
      </c>
      <c r="C6">
        <v>50</v>
      </c>
      <c r="D6" s="5">
        <f t="shared" si="0"/>
        <v>50</v>
      </c>
      <c r="E6" s="5" t="s">
        <v>13</v>
      </c>
      <c r="I6" t="s">
        <v>60</v>
      </c>
      <c r="J6" s="3" t="str">
        <f>VLOOKUP(J4,A4:E29,5,FALSE)</f>
        <v>Customer A</v>
      </c>
    </row>
    <row r="7" spans="1:10">
      <c r="A7" t="s">
        <v>4</v>
      </c>
      <c r="B7">
        <v>9</v>
      </c>
      <c r="C7">
        <v>350</v>
      </c>
      <c r="D7" s="5">
        <f t="shared" si="0"/>
        <v>38.888888888888886</v>
      </c>
      <c r="E7" s="5" t="s">
        <v>14</v>
      </c>
    </row>
    <row r="8" spans="1:10">
      <c r="A8" t="s">
        <v>5</v>
      </c>
      <c r="B8">
        <v>2</v>
      </c>
      <c r="C8">
        <v>90</v>
      </c>
      <c r="D8" s="5">
        <f t="shared" si="0"/>
        <v>45</v>
      </c>
      <c r="E8" s="5" t="s">
        <v>15</v>
      </c>
      <c r="I8" t="s">
        <v>61</v>
      </c>
      <c r="J8" s="3">
        <f>VLOOKUP(J4,A4:E29,3,FALSE)/VLOOKUP(J4,A4:E29,2,FALSE)</f>
        <v>40</v>
      </c>
    </row>
    <row r="9" spans="1:10">
      <c r="A9" t="s">
        <v>6</v>
      </c>
      <c r="B9">
        <v>3</v>
      </c>
      <c r="C9">
        <v>200</v>
      </c>
      <c r="D9" s="5">
        <f t="shared" si="0"/>
        <v>66.666666666666671</v>
      </c>
      <c r="E9" s="5" t="s">
        <v>16</v>
      </c>
    </row>
    <row r="10" spans="1:10">
      <c r="A10" t="s">
        <v>7</v>
      </c>
      <c r="B10">
        <v>4</v>
      </c>
      <c r="C10">
        <v>350</v>
      </c>
      <c r="D10" s="5">
        <f t="shared" si="0"/>
        <v>87.5</v>
      </c>
      <c r="E10" s="5" t="s">
        <v>17</v>
      </c>
    </row>
    <row r="11" spans="1:10">
      <c r="A11" t="s">
        <v>62</v>
      </c>
      <c r="B11">
        <v>9</v>
      </c>
      <c r="C11">
        <v>333</v>
      </c>
      <c r="D11">
        <v>37</v>
      </c>
      <c r="E11" s="5" t="s">
        <v>18</v>
      </c>
    </row>
    <row r="12" spans="1:10">
      <c r="A12" t="s">
        <v>23</v>
      </c>
      <c r="B12">
        <v>10</v>
      </c>
      <c r="C12">
        <v>410</v>
      </c>
      <c r="D12">
        <v>41</v>
      </c>
      <c r="E12" s="5" t="s">
        <v>19</v>
      </c>
    </row>
    <row r="13" spans="1:10">
      <c r="A13" t="s">
        <v>24</v>
      </c>
      <c r="B13">
        <v>7</v>
      </c>
      <c r="C13">
        <v>280</v>
      </c>
      <c r="D13">
        <v>40</v>
      </c>
      <c r="E13" s="5" t="s">
        <v>20</v>
      </c>
    </row>
    <row r="14" spans="1:10">
      <c r="A14" t="s">
        <v>25</v>
      </c>
      <c r="B14">
        <v>10</v>
      </c>
      <c r="C14">
        <v>320</v>
      </c>
      <c r="D14">
        <v>32</v>
      </c>
      <c r="E14" s="5" t="s">
        <v>21</v>
      </c>
    </row>
    <row r="15" spans="1:10">
      <c r="A15" t="s">
        <v>26</v>
      </c>
      <c r="B15">
        <v>8</v>
      </c>
      <c r="C15">
        <v>272</v>
      </c>
      <c r="D15">
        <v>34</v>
      </c>
      <c r="E15" s="5" t="s">
        <v>42</v>
      </c>
    </row>
    <row r="16" spans="1:10">
      <c r="A16" t="s">
        <v>27</v>
      </c>
      <c r="B16">
        <v>10</v>
      </c>
      <c r="C16">
        <v>300</v>
      </c>
      <c r="D16">
        <v>30</v>
      </c>
      <c r="E16" s="5" t="s">
        <v>43</v>
      </c>
    </row>
    <row r="17" spans="1:27">
      <c r="A17" t="s">
        <v>28</v>
      </c>
      <c r="B17">
        <v>4</v>
      </c>
      <c r="C17">
        <v>168</v>
      </c>
      <c r="D17">
        <v>42</v>
      </c>
      <c r="E17" s="5" t="s">
        <v>44</v>
      </c>
    </row>
    <row r="18" spans="1:27">
      <c r="A18" t="s">
        <v>29</v>
      </c>
      <c r="B18">
        <v>9</v>
      </c>
      <c r="C18">
        <v>279</v>
      </c>
      <c r="D18">
        <v>31</v>
      </c>
      <c r="E18" s="5" t="s">
        <v>45</v>
      </c>
    </row>
    <row r="19" spans="1:27">
      <c r="A19" t="s">
        <v>30</v>
      </c>
      <c r="B19">
        <v>8</v>
      </c>
      <c r="C19">
        <v>320</v>
      </c>
      <c r="D19">
        <v>40</v>
      </c>
      <c r="E19" s="5" t="s">
        <v>46</v>
      </c>
    </row>
    <row r="20" spans="1:27">
      <c r="A20" t="s">
        <v>31</v>
      </c>
      <c r="B20">
        <v>3</v>
      </c>
      <c r="C20">
        <v>144</v>
      </c>
      <c r="D20">
        <v>48</v>
      </c>
      <c r="E20" s="5" t="s">
        <v>47</v>
      </c>
    </row>
    <row r="21" spans="1:27">
      <c r="A21" t="s">
        <v>32</v>
      </c>
      <c r="B21">
        <v>10</v>
      </c>
      <c r="C21">
        <v>380</v>
      </c>
      <c r="D21">
        <v>38</v>
      </c>
      <c r="E21" s="5" t="s">
        <v>48</v>
      </c>
    </row>
    <row r="22" spans="1:27">
      <c r="A22" t="s">
        <v>33</v>
      </c>
      <c r="B22">
        <v>4</v>
      </c>
      <c r="C22">
        <v>192</v>
      </c>
      <c r="D22">
        <v>48</v>
      </c>
      <c r="E22" s="5" t="s">
        <v>49</v>
      </c>
    </row>
    <row r="23" spans="1:27">
      <c r="A23" t="s">
        <v>34</v>
      </c>
      <c r="B23">
        <v>4</v>
      </c>
      <c r="C23">
        <v>160</v>
      </c>
      <c r="D23">
        <v>40</v>
      </c>
      <c r="E23" s="5" t="s">
        <v>50</v>
      </c>
    </row>
    <row r="24" spans="1:27">
      <c r="A24" t="s">
        <v>35</v>
      </c>
      <c r="B24">
        <v>5</v>
      </c>
      <c r="C24">
        <v>155</v>
      </c>
      <c r="D24">
        <v>31</v>
      </c>
      <c r="E24" s="5" t="s">
        <v>51</v>
      </c>
    </row>
    <row r="25" spans="1:27">
      <c r="A25" t="s">
        <v>36</v>
      </c>
      <c r="B25">
        <v>8</v>
      </c>
      <c r="C25">
        <v>352</v>
      </c>
      <c r="D25">
        <v>44</v>
      </c>
      <c r="E25" s="5" t="s">
        <v>52</v>
      </c>
    </row>
    <row r="26" spans="1:27">
      <c r="A26" t="s">
        <v>37</v>
      </c>
      <c r="B26">
        <v>8</v>
      </c>
      <c r="C26">
        <v>400</v>
      </c>
      <c r="D26">
        <v>50</v>
      </c>
      <c r="E26" s="5" t="s">
        <v>53</v>
      </c>
    </row>
    <row r="27" spans="1:27">
      <c r="A27" t="s">
        <v>38</v>
      </c>
      <c r="B27">
        <v>8</v>
      </c>
      <c r="C27">
        <v>280</v>
      </c>
      <c r="D27">
        <v>35</v>
      </c>
      <c r="E27" s="5" t="s">
        <v>54</v>
      </c>
    </row>
    <row r="28" spans="1:27">
      <c r="A28" t="s">
        <v>39</v>
      </c>
      <c r="B28">
        <v>10</v>
      </c>
      <c r="C28">
        <v>350</v>
      </c>
      <c r="D28">
        <v>35</v>
      </c>
      <c r="E28" s="5" t="s">
        <v>55</v>
      </c>
    </row>
    <row r="29" spans="1:27">
      <c r="A29" t="s">
        <v>40</v>
      </c>
      <c r="B29">
        <v>3</v>
      </c>
      <c r="C29">
        <v>102</v>
      </c>
      <c r="D29">
        <v>34</v>
      </c>
      <c r="E29" s="5" t="s">
        <v>56</v>
      </c>
    </row>
    <row r="32" spans="1:27">
      <c r="A32" s="4" t="s">
        <v>8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62</v>
      </c>
      <c r="J32" t="s">
        <v>23</v>
      </c>
      <c r="K32" t="s">
        <v>24</v>
      </c>
      <c r="L32" t="s">
        <v>25</v>
      </c>
      <c r="M32" t="s">
        <v>26</v>
      </c>
      <c r="N32" t="s">
        <v>27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 t="s">
        <v>33</v>
      </c>
      <c r="U32" t="s">
        <v>34</v>
      </c>
      <c r="V32" t="s">
        <v>35</v>
      </c>
      <c r="W32" t="s">
        <v>36</v>
      </c>
      <c r="X32" t="s">
        <v>37</v>
      </c>
      <c r="Y32" t="s">
        <v>38</v>
      </c>
      <c r="Z32" t="s">
        <v>39</v>
      </c>
      <c r="AA32" t="s">
        <v>40</v>
      </c>
    </row>
    <row r="33" spans="1:27">
      <c r="A33" s="4" t="s">
        <v>9</v>
      </c>
      <c r="B33">
        <v>5</v>
      </c>
      <c r="C33">
        <v>6</v>
      </c>
      <c r="D33">
        <v>1</v>
      </c>
      <c r="E33">
        <v>9</v>
      </c>
      <c r="F33">
        <v>2</v>
      </c>
      <c r="G33">
        <v>3</v>
      </c>
      <c r="H33">
        <v>4</v>
      </c>
      <c r="I33">
        <v>9</v>
      </c>
      <c r="J33">
        <v>10</v>
      </c>
      <c r="K33">
        <v>7</v>
      </c>
      <c r="L33">
        <v>10</v>
      </c>
      <c r="M33">
        <v>8</v>
      </c>
      <c r="N33">
        <v>10</v>
      </c>
      <c r="O33">
        <v>4</v>
      </c>
      <c r="P33">
        <v>9</v>
      </c>
      <c r="Q33">
        <v>8</v>
      </c>
      <c r="R33">
        <v>3</v>
      </c>
      <c r="S33">
        <v>10</v>
      </c>
      <c r="T33">
        <v>4</v>
      </c>
      <c r="U33">
        <v>4</v>
      </c>
      <c r="V33">
        <v>5</v>
      </c>
      <c r="W33">
        <v>8</v>
      </c>
      <c r="X33">
        <v>8</v>
      </c>
      <c r="Y33">
        <v>8</v>
      </c>
      <c r="Z33">
        <v>10</v>
      </c>
      <c r="AA33">
        <v>3</v>
      </c>
    </row>
    <row r="34" spans="1:27">
      <c r="A34" s="4" t="s">
        <v>10</v>
      </c>
      <c r="B34">
        <v>200</v>
      </c>
      <c r="C34">
        <v>300</v>
      </c>
      <c r="D34">
        <v>50</v>
      </c>
      <c r="E34">
        <v>350</v>
      </c>
      <c r="F34">
        <v>90</v>
      </c>
      <c r="G34">
        <v>200</v>
      </c>
      <c r="H34">
        <v>350</v>
      </c>
      <c r="I34">
        <v>333</v>
      </c>
      <c r="J34">
        <v>410</v>
      </c>
      <c r="K34">
        <v>280</v>
      </c>
      <c r="L34">
        <v>320</v>
      </c>
      <c r="M34">
        <v>272</v>
      </c>
      <c r="N34">
        <v>300</v>
      </c>
      <c r="O34">
        <v>168</v>
      </c>
      <c r="P34">
        <v>279</v>
      </c>
      <c r="Q34">
        <v>320</v>
      </c>
      <c r="R34">
        <v>144</v>
      </c>
      <c r="S34">
        <v>380</v>
      </c>
      <c r="T34">
        <v>192</v>
      </c>
      <c r="U34">
        <v>160</v>
      </c>
      <c r="V34">
        <v>155</v>
      </c>
      <c r="W34">
        <v>352</v>
      </c>
      <c r="X34">
        <v>400</v>
      </c>
      <c r="Y34">
        <v>280</v>
      </c>
      <c r="Z34">
        <v>350</v>
      </c>
      <c r="AA34">
        <v>102</v>
      </c>
    </row>
    <row r="35" spans="1:27">
      <c r="A35" s="4" t="s">
        <v>0</v>
      </c>
      <c r="B35" s="5">
        <f t="shared" ref="B35:H35" si="1">B34/B33</f>
        <v>40</v>
      </c>
      <c r="C35" s="5">
        <f t="shared" si="1"/>
        <v>50</v>
      </c>
      <c r="D35" s="5">
        <f t="shared" si="1"/>
        <v>50</v>
      </c>
      <c r="E35" s="5">
        <f t="shared" si="1"/>
        <v>38.888888888888886</v>
      </c>
      <c r="F35" s="5">
        <f t="shared" si="1"/>
        <v>45</v>
      </c>
      <c r="G35" s="5">
        <f t="shared" si="1"/>
        <v>66.666666666666671</v>
      </c>
      <c r="H35" s="5">
        <f t="shared" si="1"/>
        <v>87.5</v>
      </c>
      <c r="I35">
        <v>37</v>
      </c>
      <c r="J35">
        <v>41</v>
      </c>
      <c r="K35">
        <v>40</v>
      </c>
      <c r="L35">
        <v>32</v>
      </c>
      <c r="M35">
        <v>34</v>
      </c>
      <c r="N35">
        <v>30</v>
      </c>
      <c r="O35">
        <v>42</v>
      </c>
      <c r="P35">
        <v>31</v>
      </c>
      <c r="Q35">
        <v>40</v>
      </c>
      <c r="R35">
        <v>48</v>
      </c>
      <c r="S35">
        <v>38</v>
      </c>
      <c r="T35">
        <v>48</v>
      </c>
      <c r="U35">
        <v>40</v>
      </c>
      <c r="V35">
        <v>31</v>
      </c>
      <c r="W35">
        <v>44</v>
      </c>
      <c r="X35">
        <v>50</v>
      </c>
      <c r="Y35">
        <v>35</v>
      </c>
      <c r="Z35">
        <v>35</v>
      </c>
      <c r="AA35">
        <v>34</v>
      </c>
    </row>
    <row r="36" spans="1:27">
      <c r="A36" s="4" t="s">
        <v>41</v>
      </c>
      <c r="B36" s="5" t="s">
        <v>11</v>
      </c>
      <c r="C36" s="5" t="s">
        <v>12</v>
      </c>
      <c r="D36" s="5" t="s">
        <v>13</v>
      </c>
      <c r="E36" s="5" t="s">
        <v>14</v>
      </c>
      <c r="F36" s="5" t="s">
        <v>15</v>
      </c>
      <c r="G36" s="5" t="s">
        <v>16</v>
      </c>
      <c r="H36" s="5" t="s">
        <v>17</v>
      </c>
      <c r="I36" s="5" t="s">
        <v>18</v>
      </c>
      <c r="J36" s="5" t="s">
        <v>19</v>
      </c>
      <c r="K36" s="5" t="s">
        <v>20</v>
      </c>
      <c r="L36" s="5" t="s">
        <v>21</v>
      </c>
      <c r="M36" s="5" t="s">
        <v>42</v>
      </c>
      <c r="N36" s="5" t="s">
        <v>43</v>
      </c>
      <c r="O36" s="5" t="s">
        <v>44</v>
      </c>
      <c r="P36" s="5" t="s">
        <v>45</v>
      </c>
      <c r="Q36" s="5" t="s">
        <v>46</v>
      </c>
      <c r="R36" s="5" t="s">
        <v>47</v>
      </c>
      <c r="S36" s="5" t="s">
        <v>48</v>
      </c>
      <c r="T36" s="5" t="s">
        <v>49</v>
      </c>
      <c r="U36" s="5" t="s">
        <v>50</v>
      </c>
      <c r="V36" s="5" t="s">
        <v>51</v>
      </c>
      <c r="W36" s="5" t="s">
        <v>52</v>
      </c>
      <c r="X36" s="5" t="s">
        <v>53</v>
      </c>
      <c r="Y36" s="5" t="s">
        <v>54</v>
      </c>
      <c r="Z36" s="5" t="s">
        <v>55</v>
      </c>
      <c r="AA36" s="5" t="s">
        <v>56</v>
      </c>
    </row>
    <row r="38" spans="1:27">
      <c r="D38" s="6" t="s">
        <v>58</v>
      </c>
      <c r="E38" s="7" t="s">
        <v>2</v>
      </c>
    </row>
    <row r="39" spans="1:27">
      <c r="D39" t="s">
        <v>59</v>
      </c>
      <c r="E39" s="8">
        <f>HLOOKUP(E38,B32:AA36,4,FALSE)</f>
        <v>50</v>
      </c>
    </row>
    <row r="40" spans="1:27">
      <c r="D40" t="s">
        <v>60</v>
      </c>
      <c r="E40" s="3" t="str">
        <f>HLOOKUP(E38,B32:AA36,5,FALSE)</f>
        <v>Customer B</v>
      </c>
    </row>
  </sheetData>
  <mergeCells count="1">
    <mergeCell ref="I3:J3"/>
  </mergeCells>
  <dataValidations count="1">
    <dataValidation type="list" allowBlank="1" showInputMessage="1" showErrorMessage="1" sqref="J4 E38">
      <formula1>$A$4:$A$29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More --&gt;</vt:lpstr>
      <vt:lpstr>F4 - Before</vt:lpstr>
      <vt:lpstr>F4 - After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2024-02-15T10:33:29Z</dcterms:created>
  <dcterms:modified xsi:type="dcterms:W3CDTF">2026-02-27T02:12:59Z</dcterms:modified>
</cp:coreProperties>
</file>