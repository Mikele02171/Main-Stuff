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/>
  <bookViews>
    <workbookView xWindow="3384" yWindow="2364" windowWidth="25260" windowHeight="13176" activeTab="5"/>
  </bookViews>
  <sheets>
    <sheet name="XelPlus Insider" sheetId="14" r:id="rId1"/>
    <sheet name="Exact" sheetId="2" r:id="rId2"/>
    <sheet name="From another sheet" sheetId="12" r:id="rId3"/>
    <sheet name="Data Numbers" sheetId="13" r:id="rId4"/>
    <sheet name="Approximate" sheetId="7" r:id="rId5"/>
    <sheet name="Errors" sheetId="10" r:id="rId6"/>
  </sheets>
  <externalReferences>
    <externalReference r:id="rId7"/>
    <externalReference r:id="rId8"/>
    <externalReference r:id="rId9"/>
  </externalReferences>
  <definedNames>
    <definedName name="_xlcn.WorksheetConnection_T9A2C161" hidden="1">#REF!</definedName>
    <definedName name="applist">INDEX(('[1]INDEX MATCH'!$A$37:$A$51,'[1]INDEX MATCH'!$B$37:$B$51,'[1]INDEX MATCH'!$C$37:$C$51),,,'[1]INDEX MATCH'!$I$36)</definedName>
    <definedName name="Flag">INDIRECT([2]Report!$C$2)</definedName>
    <definedName name="mylist">INDEX(([3]!TableProd[Productivity],[3]!TableGame[Games],[3]!TableUtility[Utility]),,,MATCH([3]Table!$F$4,[3]Table!$A$4:$C$4,0))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7" l="1"/>
  <c r="D6" i="7"/>
  <c r="D7" i="7"/>
  <c r="D8" i="7"/>
  <c r="D9" i="7"/>
  <c r="D10" i="7"/>
  <c r="D4" i="7"/>
  <c r="C5" i="12"/>
  <c r="C6" i="12"/>
  <c r="C4" i="12"/>
  <c r="C5" i="2"/>
  <c r="C6" i="2"/>
  <c r="C4" i="2"/>
  <c r="C5" i="10" l="1"/>
  <c r="C6" i="10"/>
  <c r="C7" i="10"/>
  <c r="C4" i="10"/>
</calcChain>
</file>

<file path=xl/sharedStrings.xml><?xml version="1.0" encoding="utf-8"?>
<sst xmlns="http://schemas.openxmlformats.org/spreadsheetml/2006/main" count="112" uniqueCount="65">
  <si>
    <t>WenCaL US</t>
  </si>
  <si>
    <t>Blend</t>
  </si>
  <si>
    <t>Voltage</t>
  </si>
  <si>
    <t>Inkly</t>
  </si>
  <si>
    <t>Sleops</t>
  </si>
  <si>
    <t>Kind Ape</t>
  </si>
  <si>
    <t>Hackrr</t>
  </si>
  <si>
    <t>Silvrr</t>
  </si>
  <si>
    <t>Customer Name</t>
  </si>
  <si>
    <t>Score</t>
  </si>
  <si>
    <t>Grade</t>
  </si>
  <si>
    <t>0 - 54</t>
  </si>
  <si>
    <t>E</t>
  </si>
  <si>
    <t>55 - 69</t>
  </si>
  <si>
    <t>D</t>
  </si>
  <si>
    <t>70 - 79</t>
  </si>
  <si>
    <t>C</t>
  </si>
  <si>
    <t>80 - 89</t>
  </si>
  <si>
    <t>B</t>
  </si>
  <si>
    <t>90 - 100</t>
  </si>
  <si>
    <t>A</t>
  </si>
  <si>
    <t>Name</t>
  </si>
  <si>
    <t>Moltisanti</t>
  </si>
  <si>
    <t>Delfino</t>
  </si>
  <si>
    <t>Cooper</t>
  </si>
  <si>
    <t>Sid</t>
  </si>
  <si>
    <t>Peppone</t>
  </si>
  <si>
    <t>West</t>
  </si>
  <si>
    <t>Uhura</t>
  </si>
  <si>
    <t>Range</t>
  </si>
  <si>
    <t>Company ID</t>
  </si>
  <si>
    <t>AT4731</t>
  </si>
  <si>
    <t>US4556</t>
  </si>
  <si>
    <t>IT4706</t>
  </si>
  <si>
    <t>ES4083</t>
  </si>
  <si>
    <t>NL4093</t>
  </si>
  <si>
    <t>DE4364</t>
  </si>
  <si>
    <t>PO4956</t>
  </si>
  <si>
    <t>PL4761</t>
  </si>
  <si>
    <t>Phone Number</t>
  </si>
  <si>
    <t>(312) 456 7890</t>
  </si>
  <si>
    <t>(213) 321 6543</t>
  </si>
  <si>
    <t>(415) 800 1234</t>
  </si>
  <si>
    <t>(504) 992 0512</t>
  </si>
  <si>
    <t>(602) 803 5566</t>
  </si>
  <si>
    <t>(720) 446 7899</t>
  </si>
  <si>
    <t>(206) 900 9988</t>
  </si>
  <si>
    <t>Profession</t>
  </si>
  <si>
    <t>Manager of Mischief</t>
  </si>
  <si>
    <t>Head of Procrastination</t>
  </si>
  <si>
    <t>Director of Debugging</t>
  </si>
  <si>
    <t>Pixel Pusher</t>
  </si>
  <si>
    <t>Code Wizard</t>
  </si>
  <si>
    <t>Keyboard Manager</t>
  </si>
  <si>
    <t>Head of Mouse Operations</t>
  </si>
  <si>
    <t>Customer Profession</t>
  </si>
  <si>
    <t>ID</t>
  </si>
  <si>
    <t>DE436</t>
  </si>
  <si>
    <t>Who We Are</t>
  </si>
  <si>
    <r>
      <rPr>
        <b/>
        <sz val="14"/>
        <color theme="1"/>
        <rFont val="Aptos"/>
        <family val="2"/>
      </rPr>
      <t xml:space="preserve">At XelPlus, we understand the challenges of mastering data tools like Excel and Power BI. </t>
    </r>
    <r>
      <rPr>
        <sz val="14"/>
        <color theme="1"/>
        <rFont val="Aptos"/>
        <family val="2"/>
      </rPr>
      <t xml:space="preserve">
You see, most people don’t realize </t>
    </r>
    <r>
      <rPr>
        <b/>
        <sz val="14"/>
        <color theme="1"/>
        <rFont val="Aptos"/>
        <family val="2"/>
      </rPr>
      <t>how much easier their work could be</t>
    </r>
    <r>
      <rPr>
        <sz val="14"/>
        <color theme="1"/>
        <rFont val="Aptos"/>
        <family val="2"/>
      </rPr>
      <t xml:space="preserve"> - until they learn the right skills. 
</t>
    </r>
    <r>
      <rPr>
        <b/>
        <sz val="14"/>
        <color theme="1"/>
        <rFont val="Aptos"/>
        <family val="2"/>
      </rPr>
      <t xml:space="preserve">Are you ready to see what you’ve been missing? </t>
    </r>
    <r>
      <rPr>
        <sz val="14"/>
        <color theme="1"/>
        <rFont val="Aptos"/>
        <family val="2"/>
      </rPr>
      <t xml:space="preserve">
</t>
    </r>
    <r>
      <rPr>
        <b/>
        <sz val="14"/>
        <color theme="1"/>
        <rFont val="Aptos"/>
        <family val="2"/>
      </rPr>
      <t>Check out our courses here</t>
    </r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</si>
  <si>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=VLOOKUP(B4,F4:H10,3,FALSE) (Value, table range, column index,exact match = False (0) (otherwise for approx. match (1)))</t>
    </r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</si>
  <si>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=VLOOKUP(B4,$F$4:$H$10,3,FALSE). When filling for other values (names for example) the results for the table range STAYS DYMANIC!</t>
    </r>
  </si>
  <si>
    <t>Eg. =VLOOKUP(B4,'Data Numbers'!$A$3:$B$9,2,FALSE)</t>
  </si>
  <si>
    <r>
      <rPr>
        <b/>
        <sz val="11"/>
        <color theme="1"/>
        <rFont val="Calibri"/>
        <family val="2"/>
        <scheme val="minor"/>
      </rPr>
      <t>NOTE (Eg 1):</t>
    </r>
    <r>
      <rPr>
        <sz val="11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=VLOOKUP(C4,$H$4:$I$8,2,1), last argument (1 or TRUE) returns approx. only works for values. Not text, $H$4:$I$8 ensures the table range stays static when filling in other scores.</t>
    </r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</si>
  <si>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No IFNA(), in this version (Windows 8)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</si>
</sst>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  <font>
      <b/>
      <sz val="28"/>
      <color rgb="FFEC4C4C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Aptos"/>
      <family val="2"/>
    </font>
    <font>
      <b/>
      <sz val="22"/>
      <color rgb="FF363636"/>
      <name val="Aptos"/>
      <family val="2"/>
    </font>
    <font>
      <b/>
      <sz val="14"/>
      <color rgb="FF363636"/>
      <name val="Aptos"/>
      <family val="2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EF6F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5">
    <xf numFmtId="0" fontId="0" fillId="0" borderId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</cellStyleXfs>
  <cellXfs count="30">
    <xf numFmtId="0" fontId="0" fillId="0" borderId="0" xfId="0"/>
    <xf numFmtId="49" fontId="4" fillId="2" borderId="0" xfId="0" applyNumberFormat="1" applyFont="1" applyFill="1" applyAlignment="1">
      <alignment horizontal="left" vertical="center" wrapText="1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0" fillId="0" borderId="2" xfId="0" applyBorder="1"/>
    <xf numFmtId="0" fontId="5" fillId="0" borderId="0" xfId="1"/>
    <xf numFmtId="0" fontId="2" fillId="6" borderId="1" xfId="0" applyFont="1" applyFill="1" applyBorder="1" applyAlignment="1" applyProtection="1">
      <alignment horizontal="center" vertical="center" wrapText="1"/>
      <protection locked="0"/>
    </xf>
    <xf numFmtId="0" fontId="2" fillId="6" borderId="1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center"/>
    </xf>
    <xf numFmtId="0" fontId="3" fillId="0" borderId="0" xfId="0" applyFont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left"/>
    </xf>
    <xf numFmtId="49" fontId="4" fillId="2" borderId="0" xfId="0" applyNumberFormat="1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0" xfId="0" applyFill="1"/>
    <xf numFmtId="0" fontId="5" fillId="0" borderId="0" xfId="1" applyAlignment="1">
      <alignment horizontal="left" vertical="center"/>
    </xf>
    <xf numFmtId="0" fontId="5" fillId="0" borderId="0" xfId="1" applyAlignment="1">
      <alignment horizontal="center" vertical="center"/>
    </xf>
    <xf numFmtId="0" fontId="8" fillId="0" borderId="0" xfId="4" applyFont="1"/>
    <xf numFmtId="0" fontId="11" fillId="0" borderId="0" xfId="1" applyFont="1"/>
    <xf numFmtId="0" fontId="11" fillId="0" borderId="0" xfId="1" applyFont="1" applyAlignment="1">
      <alignment wrapText="1"/>
    </xf>
    <xf numFmtId="0" fontId="12" fillId="0" borderId="0" xfId="3" applyFont="1" applyFill="1" applyBorder="1"/>
    <xf numFmtId="0" fontId="12" fillId="0" borderId="0" xfId="2" applyFont="1" applyFill="1" applyBorder="1"/>
    <xf numFmtId="0" fontId="13" fillId="0" borderId="0" xfId="1" applyFont="1"/>
    <xf numFmtId="0" fontId="14" fillId="0" borderId="0" xfId="1" applyFont="1"/>
    <xf numFmtId="0" fontId="11" fillId="5" borderId="0" xfId="1" applyFont="1" applyFill="1"/>
    <xf numFmtId="0" fontId="8" fillId="8" borderId="0" xfId="4" applyFont="1" applyFill="1" applyAlignment="1">
      <alignment horizontal="center"/>
    </xf>
    <xf numFmtId="0" fontId="9" fillId="0" borderId="0" xfId="1" applyFont="1" applyAlignment="1">
      <alignment horizontal="left" vertical="center" wrapText="1"/>
    </xf>
    <xf numFmtId="0" fontId="0" fillId="0" borderId="0" xfId="0" applyAlignment="1">
      <alignment wrapText="1"/>
    </xf>
  </cellXfs>
  <cellStyles count="5">
    <cellStyle name="Hyperlink 2" xfId="2"/>
    <cellStyle name="Hyperlink 3" xfId="3"/>
    <cellStyle name="Normal" xfId="0" builtinId="0"/>
    <cellStyle name="Normal 2" xfId="1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https://www.xelplus.com/courses" TargetMode="External"/><Relationship Id="rId6" Type="http://schemas.openxmlformats.org/officeDocument/2006/relationships/hyperlink" Target="https://www.xelplus.com/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www.xelplus.com/courses/" TargetMode="External"/><Relationship Id="rId9" Type="http://schemas.openxmlformats.org/officeDocument/2006/relationships/image" Target="../media/image5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128694</xdr:colOff>
      <xdr:row>11</xdr:row>
      <xdr:rowOff>114906</xdr:rowOff>
    </xdr:from>
    <xdr:to>
      <xdr:col>11</xdr:col>
      <xdr:colOff>127000</xdr:colOff>
      <xdr:row>19</xdr:row>
      <xdr:rowOff>3632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0A2EEA0-6381-49E7-891A-6AD7962B9CA3}"/>
            </a:ext>
          </a:extLst>
        </xdr:cNvPr>
        <xdr:cNvSpPr/>
      </xdr:nvSpPr>
      <xdr:spPr>
        <a:xfrm>
          <a:off x="7656165" y="4844749"/>
          <a:ext cx="3383764" cy="1750183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This course has enabled me to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finish jobs in 5-10% of the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due to my ability to process Excel so far. </a:t>
          </a:r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It has also given me the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confidence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5</xdr:col>
      <xdr:colOff>347096</xdr:colOff>
      <xdr:row>11</xdr:row>
      <xdr:rowOff>294099</xdr:rowOff>
    </xdr:from>
    <xdr:to>
      <xdr:col>5</xdr:col>
      <xdr:colOff>571724</xdr:colOff>
      <xdr:row>11</xdr:row>
      <xdr:rowOff>441928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9DBA5CA6-AAD2-41F6-AD15-B8346D439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4567" y="5023942"/>
          <a:ext cx="224628" cy="147829"/>
        </a:xfrm>
        <a:prstGeom prst="rect">
          <a:avLst/>
        </a:prstGeom>
      </xdr:spPr>
    </xdr:pic>
    <xdr:clientData/>
  </xdr:twoCellAnchor>
  <xdr:twoCellAnchor>
    <xdr:from>
      <xdr:col>1</xdr:col>
      <xdr:colOff>169333</xdr:colOff>
      <xdr:row>11</xdr:row>
      <xdr:rowOff>120951</xdr:rowOff>
    </xdr:from>
    <xdr:to>
      <xdr:col>2</xdr:col>
      <xdr:colOff>3628572</xdr:colOff>
      <xdr:row>18</xdr:row>
      <xdr:rowOff>169333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AA5E6C-4C0D-454B-B054-6BB3A6D47470}"/>
            </a:ext>
          </a:extLst>
        </xdr:cNvPr>
        <xdr:cNvSpPr/>
      </xdr:nvSpPr>
      <xdr:spPr>
        <a:xfrm>
          <a:off x="272747" y="4850794"/>
          <a:ext cx="3676954" cy="1724782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The Black Belt Bundle gave me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'AH-HA' moments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every step of the way. </a:t>
          </a:r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now able to use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Power Query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and</a:t>
          </a:r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create dashboards in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no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!</a:t>
          </a:r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Christian Fiset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</xdr:col>
      <xdr:colOff>148530</xdr:colOff>
      <xdr:row>11</xdr:row>
      <xdr:rowOff>273232</xdr:rowOff>
    </xdr:from>
    <xdr:to>
      <xdr:col>2</xdr:col>
      <xdr:colOff>351819</xdr:colOff>
      <xdr:row>11</xdr:row>
      <xdr:rowOff>439347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10CBAC6E-5D30-465B-992F-AC591983E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659" y="5003075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2</xdr:col>
      <xdr:colOff>2350054</xdr:colOff>
      <xdr:row>4</xdr:row>
      <xdr:rowOff>1150065</xdr:rowOff>
    </xdr:from>
    <xdr:to>
      <xdr:col>2</xdr:col>
      <xdr:colOff>3397368</xdr:colOff>
      <xdr:row>7</xdr:row>
      <xdr:rowOff>291577</xdr:rowOff>
    </xdr:to>
    <xdr:pic>
      <xdr:nvPicPr>
        <xdr:cNvPr id="6" name="Google Shape;59;p13">
          <a:extLst>
            <a:ext uri="{FF2B5EF4-FFF2-40B4-BE49-F238E27FC236}">
              <a16:creationId xmlns:a16="http://schemas.microsoft.com/office/drawing/2014/main" xmlns="" id="{A37F4176-F9E8-4046-9A16-18F035CE5A48}"/>
            </a:ext>
          </a:extLst>
        </xdr:cNvPr>
        <xdr:cNvPicPr preferRelativeResize="0"/>
      </xdr:nvPicPr>
      <xdr:blipFill>
        <a:blip xmlns:r="http://schemas.openxmlformats.org/officeDocument/2006/relationships" r:embed="rId3">
          <a:alphaModFix/>
        </a:blip>
        <a:stretch>
          <a:fillRect/>
        </a:stretch>
      </xdr:blipFill>
      <xdr:spPr>
        <a:xfrm rot="21080234">
          <a:off x="2671183" y="2657736"/>
          <a:ext cx="1047314" cy="99752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3698721</xdr:colOff>
      <xdr:row>6</xdr:row>
      <xdr:rowOff>74385</xdr:rowOff>
    </xdr:from>
    <xdr:to>
      <xdr:col>5</xdr:col>
      <xdr:colOff>314478</xdr:colOff>
      <xdr:row>8</xdr:row>
      <xdr:rowOff>76198</xdr:rowOff>
    </xdr:to>
    <xdr:sp macro="" textlink="">
      <xdr:nvSpPr>
        <xdr:cNvPr id="7" name="Google Shape;62;p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22B86AE9-3E98-4FF6-B9D7-0BB3878010EC}"/>
            </a:ext>
          </a:extLst>
        </xdr:cNvPr>
        <xdr:cNvSpPr/>
      </xdr:nvSpPr>
      <xdr:spPr>
        <a:xfrm>
          <a:off x="4019850" y="3312885"/>
          <a:ext cx="3822099" cy="507999"/>
        </a:xfrm>
        <a:prstGeom prst="roundRect">
          <a:avLst>
            <a:gd name="adj" fmla="val 50000"/>
          </a:avLst>
        </a:prstGeom>
        <a:solidFill>
          <a:srgbClr val="EC4C4C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400"/>
            <a:buFont typeface="Noto Sans Symbols"/>
            <a:buNone/>
          </a:pPr>
          <a:r>
            <a:rPr lang="x-none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Join Our </a:t>
          </a:r>
          <a:r>
            <a:rPr lang="en-US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Bestselling Courses Now</a:t>
          </a:r>
        </a:p>
      </xdr:txBody>
    </xdr:sp>
    <xdr:clientData/>
  </xdr:twoCellAnchor>
  <xdr:twoCellAnchor>
    <xdr:from>
      <xdr:col>2</xdr:col>
      <xdr:colOff>3840239</xdr:colOff>
      <xdr:row>11</xdr:row>
      <xdr:rowOff>133047</xdr:rowOff>
    </xdr:from>
    <xdr:to>
      <xdr:col>4</xdr:col>
      <xdr:colOff>622904</xdr:colOff>
      <xdr:row>18</xdr:row>
      <xdr:rowOff>181429</xdr:rowOff>
    </xdr:to>
    <xdr:sp macro="" textlink="">
      <xdr:nvSpPr>
        <xdr:cNvPr id="8" name="Rectangle: Rounded Corner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3E6A82B-9216-4DFC-AF9B-CCECC6472A12}"/>
            </a:ext>
          </a:extLst>
        </xdr:cNvPr>
        <xdr:cNvSpPr/>
      </xdr:nvSpPr>
      <xdr:spPr>
        <a:xfrm>
          <a:off x="4161368" y="4862890"/>
          <a:ext cx="3346750" cy="1724782"/>
        </a:xfrm>
        <a:prstGeom prst="roundRect">
          <a:avLst/>
        </a:prstGeom>
        <a:solidFill>
          <a:srgbClr val="E7F3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Absolutely eye-opening;</a:t>
          </a:r>
          <a:r>
            <a:rPr lang="x-none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Leila is an expert instructor who </a:t>
          </a:r>
          <a:r>
            <a:rPr lang="x-none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makes learning Excel enjoyable </a:t>
          </a:r>
          <a:r>
            <a:rPr lang="x-none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and easy to follow. </a:t>
          </a:r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x-none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Aimee Schumacher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2</xdr:col>
      <xdr:colOff>4025053</xdr:colOff>
      <xdr:row>11</xdr:row>
      <xdr:rowOff>321613</xdr:rowOff>
    </xdr:from>
    <xdr:to>
      <xdr:col>2</xdr:col>
      <xdr:colOff>4228342</xdr:colOff>
      <xdr:row>11</xdr:row>
      <xdr:rowOff>487728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F0E60B34-54DF-4604-A544-F1146375A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6182" y="5051456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7</xdr:col>
      <xdr:colOff>56039</xdr:colOff>
      <xdr:row>8</xdr:row>
      <xdr:rowOff>206970</xdr:rowOff>
    </xdr:from>
    <xdr:to>
      <xdr:col>11</xdr:col>
      <xdr:colOff>5445</xdr:colOff>
      <xdr:row>10</xdr:row>
      <xdr:rowOff>336246</xdr:rowOff>
    </xdr:to>
    <xdr:pic>
      <xdr:nvPicPr>
        <xdr:cNvPr id="10" name="Picture 9" descr="Logo&#10;&#10;Description automatically generated with medium confidence">
          <a:extLst>
            <a:ext uri="{FF2B5EF4-FFF2-40B4-BE49-F238E27FC236}">
              <a16:creationId xmlns:a16="http://schemas.microsoft.com/office/drawing/2014/main" xmlns="" id="{231C03E3-34F5-4EB1-956E-782575FFD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68025" y="3951656"/>
          <a:ext cx="2050349" cy="733433"/>
        </a:xfrm>
        <a:prstGeom prst="rect">
          <a:avLst/>
        </a:prstGeom>
      </xdr:spPr>
    </xdr:pic>
    <xdr:clientData/>
  </xdr:twoCellAnchor>
  <xdr:twoCellAnchor editAs="oneCell">
    <xdr:from>
      <xdr:col>2</xdr:col>
      <xdr:colOff>1601635</xdr:colOff>
      <xdr:row>0</xdr:row>
      <xdr:rowOff>114977</xdr:rowOff>
    </xdr:from>
    <xdr:to>
      <xdr:col>2</xdr:col>
      <xdr:colOff>3728582</xdr:colOff>
      <xdr:row>0</xdr:row>
      <xdr:rowOff>652597</xdr:rowOff>
    </xdr:to>
    <xdr:pic>
      <xdr:nvPicPr>
        <xdr:cNvPr id="11" name="Graphic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FB03F8FC-CF3C-4880-B150-AFD253915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1922764" y="114977"/>
          <a:ext cx="2126947" cy="537620"/>
        </a:xfrm>
        <a:prstGeom prst="rect">
          <a:avLst/>
        </a:prstGeom>
      </xdr:spPr>
    </xdr:pic>
    <xdr:clientData/>
  </xdr:twoCellAnchor>
  <xdr:oneCellAnchor>
    <xdr:from>
      <xdr:col>1</xdr:col>
      <xdr:colOff>132442</xdr:colOff>
      <xdr:row>9</xdr:row>
      <xdr:rowOff>124428</xdr:rowOff>
    </xdr:from>
    <xdr:ext cx="4868938" cy="44856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A3B81EF9-8F12-4B57-BFBD-DB199A35CF53}"/>
            </a:ext>
          </a:extLst>
        </xdr:cNvPr>
        <xdr:cNvSpPr txBox="1"/>
      </xdr:nvSpPr>
      <xdr:spPr>
        <a:xfrm>
          <a:off x="235856" y="4288214"/>
          <a:ext cx="4868938" cy="448563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x-none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Here’s What Our Students Are Saying:</a:t>
          </a:r>
          <a:endParaRPr lang="en-GB" sz="2000" b="1">
            <a:solidFill>
              <a:srgbClr val="EC4C4C"/>
            </a:solidFill>
            <a:latin typeface="Aptos" panose="020B0004020202020204" pitchFamily="34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 editAs="oneCell">
    <xdr:from>
      <xdr:col>3</xdr:col>
      <xdr:colOff>1</xdr:colOff>
      <xdr:row>0</xdr:row>
      <xdr:rowOff>0</xdr:rowOff>
    </xdr:from>
    <xdr:to>
      <xdr:col>5</xdr:col>
      <xdr:colOff>544287</xdr:colOff>
      <xdr:row>0</xdr:row>
      <xdr:rowOff>908086</xdr:rowOff>
    </xdr:to>
    <xdr:pic>
      <xdr:nvPicPr>
        <xdr:cNvPr id="13" name="Picture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13EA2AB7-0B6A-4809-8D79-E3BC95EBF7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18"/>
        <a:stretch/>
      </xdr:blipFill>
      <xdr:spPr>
        <a:xfrm>
          <a:off x="6242958" y="0"/>
          <a:ext cx="1828800" cy="908086"/>
        </a:xfrm>
        <a:prstGeom prst="roundRect">
          <a:avLst/>
        </a:prstGeom>
      </xdr:spPr>
    </xdr:pic>
    <xdr:clientData/>
  </xdr:twoCellAnchor>
  <xdr:twoCellAnchor>
    <xdr:from>
      <xdr:col>2</xdr:col>
      <xdr:colOff>1414462</xdr:colOff>
      <xdr:row>0</xdr:row>
      <xdr:rowOff>647699</xdr:rowOff>
    </xdr:from>
    <xdr:to>
      <xdr:col>2</xdr:col>
      <xdr:colOff>4019551</xdr:colOff>
      <xdr:row>3</xdr:row>
      <xdr:rowOff>85724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6D6DB9E0-32A1-406F-A1FF-17A324D2AB11}"/>
            </a:ext>
          </a:extLst>
        </xdr:cNvPr>
        <xdr:cNvSpPr txBox="1"/>
      </xdr:nvSpPr>
      <xdr:spPr>
        <a:xfrm>
          <a:off x="1735591" y="647699"/>
          <a:ext cx="2605089" cy="4776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Helped </a:t>
          </a:r>
          <a:r>
            <a:rPr lang="en-US" sz="1100" b="1"/>
            <a:t>400,000+ </a:t>
          </a:r>
          <a:r>
            <a:rPr lang="en-US" sz="1100"/>
            <a:t>professionals upgrade their analytic skills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5</xdr:col>
      <xdr:colOff>255443</xdr:colOff>
      <xdr:row>1</xdr:row>
      <xdr:rowOff>176643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xmlns="" id="{61D0E767-B8A6-4393-9FB1-3BC1807873BB}"/>
            </a:ext>
          </a:extLst>
        </xdr:cNvPr>
        <xdr:cNvGrpSpPr/>
      </xdr:nvGrpSpPr>
      <xdr:grpSpPr>
        <a:xfrm>
          <a:off x="1" y="0"/>
          <a:ext cx="3852082" cy="428103"/>
          <a:chOff x="0" y="16329"/>
          <a:chExt cx="5498524" cy="433941"/>
        </a:xfrm>
      </xdr:grpSpPr>
      <xdr:pic>
        <xdr:nvPicPr>
          <xdr:cNvPr id="5" name="Graphic 4" descr="A brushstroke">
            <a:extLst>
              <a:ext uri="{FF2B5EF4-FFF2-40B4-BE49-F238E27FC236}">
                <a16:creationId xmlns:a16="http://schemas.microsoft.com/office/drawing/2014/main" xmlns="" id="{14F66E65-A397-C245-ECBB-1F78179D3DE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2"/>
              </a:ext>
            </a:extLst>
          </a:blip>
          <a:srcRect l="10469" t="45992" r="12656" b="44532"/>
          <a:stretch/>
        </xdr:blipFill>
        <xdr:spPr>
          <a:xfrm>
            <a:off x="0" y="16329"/>
            <a:ext cx="5498524" cy="433941"/>
          </a:xfrm>
          <a:prstGeom prst="rect">
            <a:avLst/>
          </a:prstGeom>
        </xdr:spPr>
      </xdr:pic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xmlns="" id="{1178362E-22F5-6919-6B72-34375489D2DF}"/>
              </a:ext>
            </a:extLst>
          </xdr:cNvPr>
          <xdr:cNvSpPr txBox="1"/>
        </xdr:nvSpPr>
        <xdr:spPr>
          <a:xfrm>
            <a:off x="192251" y="65315"/>
            <a:ext cx="4349886" cy="3514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VLOOKUP - Exact Match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875805</xdr:colOff>
      <xdr:row>1</xdr:row>
      <xdr:rowOff>176643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xmlns="" id="{17108AB5-8416-4A1E-889A-31E1C41EC7FA}"/>
            </a:ext>
          </a:extLst>
        </xdr:cNvPr>
        <xdr:cNvGrpSpPr/>
      </xdr:nvGrpSpPr>
      <xdr:grpSpPr>
        <a:xfrm>
          <a:off x="0" y="0"/>
          <a:ext cx="6796545" cy="428103"/>
          <a:chOff x="0" y="16329"/>
          <a:chExt cx="5498524" cy="433941"/>
        </a:xfrm>
      </xdr:grpSpPr>
      <xdr:pic>
        <xdr:nvPicPr>
          <xdr:cNvPr id="3" name="Graphic 2" descr="A brushstroke">
            <a:extLst>
              <a:ext uri="{FF2B5EF4-FFF2-40B4-BE49-F238E27FC236}">
                <a16:creationId xmlns:a16="http://schemas.microsoft.com/office/drawing/2014/main" xmlns="" id="{F380D937-56C1-0C60-5892-D6F658FA283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2"/>
              </a:ext>
            </a:extLst>
          </a:blip>
          <a:srcRect l="10469" t="45992" r="12656" b="44532"/>
          <a:stretch/>
        </xdr:blipFill>
        <xdr:spPr>
          <a:xfrm>
            <a:off x="0" y="16329"/>
            <a:ext cx="5498524" cy="433941"/>
          </a:xfrm>
          <a:prstGeom prst="rect">
            <a:avLst/>
          </a:prstGeom>
        </xdr:spPr>
      </xdr:pic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xmlns="" id="{881E162E-B95B-23F4-0C2B-0F6F93EDA111}"/>
              </a:ext>
            </a:extLst>
          </xdr:cNvPr>
          <xdr:cNvSpPr txBox="1"/>
        </xdr:nvSpPr>
        <xdr:spPr>
          <a:xfrm>
            <a:off x="192251" y="65315"/>
            <a:ext cx="4349886" cy="3514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VLOOKUP - Exact Match: From Another</a:t>
            </a:r>
            <a:r>
              <a:rPr lang="en-US" sz="14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Sheet</a:t>
            </a:r>
            <a:endParaRPr lang="en-US" sz="1400">
              <a:effectLst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69273</xdr:colOff>
      <xdr:row>1</xdr:row>
      <xdr:rowOff>176643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xmlns="" id="{0F8E4252-1579-462D-A0CE-82A5B8A8A3C6}"/>
            </a:ext>
          </a:extLst>
        </xdr:cNvPr>
        <xdr:cNvGrpSpPr/>
      </xdr:nvGrpSpPr>
      <xdr:grpSpPr>
        <a:xfrm>
          <a:off x="0" y="0"/>
          <a:ext cx="4779818" cy="426025"/>
          <a:chOff x="0" y="16329"/>
          <a:chExt cx="5498524" cy="433941"/>
        </a:xfrm>
      </xdr:grpSpPr>
      <xdr:pic>
        <xdr:nvPicPr>
          <xdr:cNvPr id="3" name="Graphic 2" descr="A brushstroke">
            <a:extLst>
              <a:ext uri="{FF2B5EF4-FFF2-40B4-BE49-F238E27FC236}">
                <a16:creationId xmlns:a16="http://schemas.microsoft.com/office/drawing/2014/main" xmlns="" id="{FC694384-7996-B116-B940-787F738AB2F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2"/>
              </a:ext>
            </a:extLst>
          </a:blip>
          <a:srcRect l="10469" t="45992" r="12656" b="44532"/>
          <a:stretch/>
        </xdr:blipFill>
        <xdr:spPr>
          <a:xfrm>
            <a:off x="0" y="16329"/>
            <a:ext cx="5498524" cy="433941"/>
          </a:xfrm>
          <a:prstGeom prst="rect">
            <a:avLst/>
          </a:prstGeom>
        </xdr:spPr>
      </xdr:pic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xmlns="" id="{8A852316-EA55-4692-1389-7BB8A95E4B69}"/>
              </a:ext>
            </a:extLst>
          </xdr:cNvPr>
          <xdr:cNvSpPr txBox="1"/>
        </xdr:nvSpPr>
        <xdr:spPr>
          <a:xfrm>
            <a:off x="192252" y="65315"/>
            <a:ext cx="4634427" cy="3514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VLOOKUP - Approximate Match: Looking Up Grades</a:t>
            </a:r>
            <a:endParaRPr lang="en-US" sz="1400">
              <a:effectLst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638298</xdr:colOff>
      <xdr:row>1</xdr:row>
      <xdr:rowOff>176643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xmlns="" id="{09C2E64E-5E38-4EEE-B21A-B09429873A89}"/>
            </a:ext>
          </a:extLst>
        </xdr:cNvPr>
        <xdr:cNvGrpSpPr/>
      </xdr:nvGrpSpPr>
      <xdr:grpSpPr>
        <a:xfrm>
          <a:off x="0" y="0"/>
          <a:ext cx="3754878" cy="428103"/>
          <a:chOff x="0" y="16329"/>
          <a:chExt cx="5498524" cy="433941"/>
        </a:xfrm>
      </xdr:grpSpPr>
      <xdr:pic>
        <xdr:nvPicPr>
          <xdr:cNvPr id="3" name="Graphic 2" descr="A brushstroke">
            <a:extLst>
              <a:ext uri="{FF2B5EF4-FFF2-40B4-BE49-F238E27FC236}">
                <a16:creationId xmlns:a16="http://schemas.microsoft.com/office/drawing/2014/main" xmlns="" id="{01909684-1358-351C-C299-3AE2F632EE1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2"/>
              </a:ext>
            </a:extLst>
          </a:blip>
          <a:srcRect l="10469" t="45992" r="12656" b="44532"/>
          <a:stretch/>
        </xdr:blipFill>
        <xdr:spPr>
          <a:xfrm>
            <a:off x="0" y="16329"/>
            <a:ext cx="5498524" cy="433941"/>
          </a:xfrm>
          <a:prstGeom prst="rect">
            <a:avLst/>
          </a:prstGeom>
        </xdr:spPr>
      </xdr:pic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xmlns="" id="{4A49674B-B3CF-16E6-834A-3A8B69C3ACDB}"/>
              </a:ext>
            </a:extLst>
          </xdr:cNvPr>
          <xdr:cNvSpPr txBox="1"/>
        </xdr:nvSpPr>
        <xdr:spPr>
          <a:xfrm>
            <a:off x="192251" y="65315"/>
            <a:ext cx="4349886" cy="3514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VLOOKUP - Common Errors to Avoid</a:t>
            </a:r>
            <a:endParaRPr lang="en-US" sz="1400">
              <a:effectLst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dex_Match_Basics_Excel_Free_WorkBook_Xelplus%20l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60237486963a246/YouTube/YT_2018/YT_201806/Lookup_Pictures/Excel_Lookup_Pictures_XelPlus_Downl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G/OneDrive/YouTube/YT_2018/YT_201807/Dependent_DropDown_Varying_Lengths/Excel_Dependent_Dropdown_Expandable_Exclude_Empty_XelPl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re --&gt;"/>
      <sheetName val="INDEX MATCH"/>
    </sheetNames>
    <sheetDataSet>
      <sheetData sheetId="0" refreshError="1"/>
      <sheetData sheetId="1">
        <row r="36">
          <cell r="I36">
            <v>3</v>
          </cell>
        </row>
        <row r="37">
          <cell r="A37" t="str">
            <v>WenCaL</v>
          </cell>
          <cell r="B37" t="str">
            <v>Fightrr</v>
          </cell>
          <cell r="C37" t="str">
            <v>Commuta</v>
          </cell>
        </row>
        <row r="38">
          <cell r="A38" t="str">
            <v>Blend</v>
          </cell>
          <cell r="B38" t="str">
            <v>Kryptis</v>
          </cell>
          <cell r="C38" t="str">
            <v>Infic</v>
          </cell>
        </row>
        <row r="39">
          <cell r="A39" t="str">
            <v>Voltage</v>
          </cell>
          <cell r="B39" t="str">
            <v>Perino</v>
          </cell>
          <cell r="C39" t="str">
            <v>Accord</v>
          </cell>
        </row>
        <row r="40">
          <cell r="A40" t="str">
            <v>Inkly</v>
          </cell>
          <cell r="B40" t="str">
            <v>Five Labs</v>
          </cell>
          <cell r="C40" t="str">
            <v>Misty Wash</v>
          </cell>
        </row>
        <row r="41">
          <cell r="A41" t="str">
            <v>Sleops</v>
          </cell>
          <cell r="B41" t="str">
            <v>Twistrr</v>
          </cell>
          <cell r="C41" t="str">
            <v>Twenty20</v>
          </cell>
        </row>
        <row r="42">
          <cell r="A42" t="str">
            <v>Kind Ape</v>
          </cell>
          <cell r="B42" t="str">
            <v>Hackrr</v>
          </cell>
          <cell r="C42" t="str">
            <v>Tanox</v>
          </cell>
        </row>
        <row r="43">
          <cell r="A43" t="str">
            <v>Pet Feed</v>
          </cell>
          <cell r="B43" t="str">
            <v>Pes</v>
          </cell>
          <cell r="C43" t="str">
            <v>Minor Liar</v>
          </cell>
        </row>
        <row r="44">
          <cell r="A44" t="str">
            <v>Right App</v>
          </cell>
          <cell r="B44" t="str">
            <v>Baden</v>
          </cell>
          <cell r="C44" t="str">
            <v>Mosquit</v>
          </cell>
        </row>
        <row r="45">
          <cell r="A45" t="str">
            <v>Mirrrr</v>
          </cell>
          <cell r="B45" t="str">
            <v>Jellyfish</v>
          </cell>
          <cell r="C45" t="str">
            <v>Atmos</v>
          </cell>
        </row>
        <row r="46">
          <cell r="A46" t="str">
            <v>Halotot</v>
          </cell>
          <cell r="B46" t="str">
            <v>Aviatrr</v>
          </cell>
          <cell r="C46" t="str">
            <v>Scrap</v>
          </cell>
        </row>
        <row r="47">
          <cell r="A47" t="str">
            <v>Flowrrr</v>
          </cell>
          <cell r="B47" t="str">
            <v>deRamblr</v>
          </cell>
          <cell r="C47" t="str">
            <v>Motocyco</v>
          </cell>
        </row>
        <row r="48">
          <cell r="A48" t="str">
            <v>Silvrr</v>
          </cell>
          <cell r="B48" t="str">
            <v>Arcade</v>
          </cell>
          <cell r="C48" t="str">
            <v>Amplefio</v>
          </cell>
        </row>
        <row r="49">
          <cell r="A49" t="str">
            <v>Dasring</v>
          </cell>
          <cell r="B49" t="str">
            <v/>
          </cell>
          <cell r="C49" t="str">
            <v>Strex</v>
          </cell>
        </row>
        <row r="50">
          <cell r="A50" t="str">
            <v>Rehire</v>
          </cell>
          <cell r="B50" t="str">
            <v/>
          </cell>
          <cell r="C50" t="str">
            <v/>
          </cell>
        </row>
        <row r="51">
          <cell r="A51" t="str">
            <v>Didactic</v>
          </cell>
          <cell r="B51" t="str">
            <v/>
          </cell>
          <cell r="C51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Report"/>
      <sheetName val="Master"/>
    </sheetNames>
    <sheetDataSet>
      <sheetData sheetId="0"/>
      <sheetData sheetId="1">
        <row r="2">
          <cell r="C2" t="str">
            <v>Spain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OFFSET"/>
      <sheetName val="Table"/>
      <sheetName val="Excel_Dependent_Dropdown_Expand"/>
    </sheetNames>
    <sheetDataSet>
      <sheetData sheetId="0"/>
      <sheetData sheetId="1"/>
      <sheetData sheetId="2">
        <row r="4">
          <cell r="A4" t="str">
            <v>Productivity</v>
          </cell>
          <cell r="B4" t="str">
            <v>Games</v>
          </cell>
          <cell r="C4" t="str">
            <v>Utility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4C4C"/>
    <pageSetUpPr fitToPage="1"/>
  </sheetPr>
  <dimension ref="A1:N21"/>
  <sheetViews>
    <sheetView showGridLines="0" zoomScaleNormal="100" workbookViewId="0">
      <selection activeCell="C5" sqref="C5:J5"/>
    </sheetView>
  </sheetViews>
  <sheetFormatPr defaultColWidth="0" defaultRowHeight="0" customHeight="1" zeroHeight="1"/>
  <cols>
    <col min="1" max="1" width="1.44140625" style="5" customWidth="1"/>
    <col min="2" max="2" width="3.109375" style="5" customWidth="1"/>
    <col min="3" max="3" width="83.6640625" style="5" customWidth="1"/>
    <col min="4" max="10" width="9.109375" style="5" customWidth="1"/>
    <col min="11" max="11" width="2.44140625" style="5" customWidth="1"/>
    <col min="12" max="12" width="4.77734375" style="5" customWidth="1"/>
    <col min="13" max="13" width="0" style="5" hidden="1" customWidth="1"/>
    <col min="14" max="14" width="0" style="5" hidden="1"/>
    <col min="15" max="16383" width="9.109375" style="5" hidden="1"/>
    <col min="16384" max="16384" width="9.109375" style="5" hidden="1" customWidth="1"/>
  </cols>
  <sheetData>
    <row r="1" spans="3:12" ht="73.2" customHeight="1">
      <c r="C1" s="17"/>
    </row>
    <row r="2" spans="3:12" ht="6.75" customHeight="1">
      <c r="C2" s="18"/>
    </row>
    <row r="3" spans="3:12" ht="2.7" customHeight="1"/>
    <row r="4" spans="3:12" ht="35.4">
      <c r="C4" s="27" t="s">
        <v>58</v>
      </c>
      <c r="D4" s="27"/>
      <c r="E4" s="27"/>
      <c r="F4" s="27"/>
      <c r="G4" s="27"/>
      <c r="H4" s="27"/>
      <c r="I4" s="27"/>
      <c r="J4" s="27"/>
      <c r="K4" s="19"/>
      <c r="L4" s="19"/>
    </row>
    <row r="5" spans="3:12" s="20" customFormat="1" ht="116.25" customHeight="1">
      <c r="C5" s="28" t="s">
        <v>59</v>
      </c>
      <c r="D5" s="28"/>
      <c r="E5" s="28"/>
      <c r="F5" s="28"/>
      <c r="G5" s="28"/>
      <c r="H5" s="28"/>
      <c r="I5" s="28"/>
      <c r="J5" s="28"/>
    </row>
    <row r="6" spans="3:12" s="20" customFormat="1" ht="20.25" customHeight="1"/>
    <row r="7" spans="3:12" s="20" customFormat="1" ht="10.050000000000001" customHeight="1"/>
    <row r="8" spans="3:12" s="20" customFormat="1" ht="30" customHeight="1">
      <c r="C8" s="21"/>
    </row>
    <row r="9" spans="3:12" s="20" customFormat="1" ht="33" customHeight="1">
      <c r="C9" s="21"/>
    </row>
    <row r="10" spans="3:12" s="20" customFormat="1" ht="14.7" customHeight="1">
      <c r="C10" s="22"/>
      <c r="D10" s="23"/>
      <c r="E10" s="23"/>
    </row>
    <row r="11" spans="3:12" s="20" customFormat="1" ht="30" customHeight="1">
      <c r="C11" s="24"/>
    </row>
    <row r="12" spans="3:12" s="20" customFormat="1" ht="39.75" customHeight="1"/>
    <row r="13" spans="3:12" s="20" customFormat="1" ht="24.75" customHeight="1">
      <c r="C13" s="25"/>
    </row>
    <row r="14" spans="3:12" s="20" customFormat="1" ht="10.199999999999999" customHeight="1"/>
    <row r="15" spans="3:12" s="20" customFormat="1" ht="13.8">
      <c r="C15" s="21"/>
    </row>
    <row r="16" spans="3:12" s="20" customFormat="1" ht="13.8"/>
    <row r="17" spans="1:5" s="20" customFormat="1" ht="13.8"/>
    <row r="18" spans="1:5" s="20" customFormat="1" ht="13.8">
      <c r="C18" s="22"/>
      <c r="D18" s="23"/>
      <c r="E18" s="23"/>
    </row>
    <row r="19" spans="1:5" s="20" customFormat="1" ht="13.8">
      <c r="C19" s="22"/>
      <c r="D19" s="23"/>
      <c r="E19" s="23"/>
    </row>
    <row r="20" spans="1:5" s="20" customFormat="1" ht="16.5" customHeight="1">
      <c r="A20" s="22"/>
      <c r="B20" s="22"/>
      <c r="C20" s="22"/>
      <c r="D20" s="22"/>
      <c r="E20" s="22"/>
    </row>
    <row r="21" spans="1:5" s="26" customFormat="1" ht="13.8"/>
  </sheetData>
  <mergeCells count="2">
    <mergeCell ref="C4:J4"/>
    <mergeCell ref="C5:J5"/>
  </mergeCells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9" tint="0.79998168889431442"/>
  </sheetPr>
  <dimension ref="A1:H14"/>
  <sheetViews>
    <sheetView topLeftCell="A6" zoomScale="120" zoomScaleNormal="120" workbookViewId="0">
      <selection activeCell="D10" sqref="D10"/>
    </sheetView>
  </sheetViews>
  <sheetFormatPr defaultRowHeight="14.4"/>
  <cols>
    <col min="1" max="1" width="2.44140625" customWidth="1"/>
    <col min="2" max="2" width="12.21875" customWidth="1"/>
    <col min="3" max="3" width="20.6640625" customWidth="1"/>
    <col min="4" max="4" width="15.109375" customWidth="1"/>
    <col min="5" max="5" width="2" style="16" customWidth="1"/>
    <col min="6" max="6" width="18.33203125" customWidth="1"/>
    <col min="7" max="7" width="14.109375" customWidth="1"/>
    <col min="8" max="8" width="22.109375" bestFit="1" customWidth="1"/>
  </cols>
  <sheetData>
    <row r="1" spans="1:8" ht="20.25" customHeight="1">
      <c r="A1" s="9"/>
    </row>
    <row r="2" spans="1:8" ht="15.6" customHeight="1"/>
    <row r="3" spans="1:8">
      <c r="B3" s="1" t="s">
        <v>21</v>
      </c>
      <c r="C3" s="2" t="s">
        <v>55</v>
      </c>
      <c r="F3" s="6" t="s">
        <v>21</v>
      </c>
      <c r="G3" s="7" t="s">
        <v>39</v>
      </c>
      <c r="H3" s="6" t="s">
        <v>47</v>
      </c>
    </row>
    <row r="4" spans="1:8">
      <c r="B4" t="s">
        <v>25</v>
      </c>
      <c r="C4" s="10" t="str">
        <f>VLOOKUP(B4,$F$4:$H$10,3,FALSE)</f>
        <v>Keyboard Manager</v>
      </c>
      <c r="F4" s="3" t="s">
        <v>22</v>
      </c>
      <c r="G4" t="s">
        <v>40</v>
      </c>
      <c r="H4" t="s">
        <v>50</v>
      </c>
    </row>
    <row r="5" spans="1:8">
      <c r="B5" t="s">
        <v>28</v>
      </c>
      <c r="C5" s="10" t="str">
        <f t="shared" ref="C5:C6" si="0">VLOOKUP(B5,$F$4:$H$10,3,FALSE)</f>
        <v>Manager of Mischief</v>
      </c>
      <c r="F5" s="4" t="s">
        <v>23</v>
      </c>
      <c r="G5" t="s">
        <v>41</v>
      </c>
      <c r="H5" t="s">
        <v>51</v>
      </c>
    </row>
    <row r="6" spans="1:8">
      <c r="B6" s="3" t="s">
        <v>22</v>
      </c>
      <c r="C6" s="10" t="str">
        <f t="shared" si="0"/>
        <v>Director of Debugging</v>
      </c>
      <c r="F6" s="4" t="s">
        <v>24</v>
      </c>
      <c r="G6" t="s">
        <v>42</v>
      </c>
      <c r="H6" t="s">
        <v>49</v>
      </c>
    </row>
    <row r="7" spans="1:8">
      <c r="F7" t="s">
        <v>27</v>
      </c>
      <c r="G7" t="s">
        <v>45</v>
      </c>
      <c r="H7" t="s">
        <v>54</v>
      </c>
    </row>
    <row r="8" spans="1:8">
      <c r="F8" t="s">
        <v>25</v>
      </c>
      <c r="G8" t="s">
        <v>44</v>
      </c>
      <c r="H8" t="s">
        <v>53</v>
      </c>
    </row>
    <row r="9" spans="1:8">
      <c r="F9" t="s">
        <v>26</v>
      </c>
      <c r="G9" t="s">
        <v>43</v>
      </c>
      <c r="H9" t="s">
        <v>52</v>
      </c>
    </row>
    <row r="10" spans="1:8" ht="144">
      <c r="C10" s="29" t="s">
        <v>60</v>
      </c>
      <c r="D10" s="29" t="s">
        <v>61</v>
      </c>
      <c r="F10" t="s">
        <v>28</v>
      </c>
      <c r="G10" t="s">
        <v>46</v>
      </c>
      <c r="H10" t="s">
        <v>48</v>
      </c>
    </row>
    <row r="11" spans="1:8">
      <c r="F11" s="8"/>
    </row>
    <row r="12" spans="1:8">
      <c r="F12" s="8"/>
    </row>
    <row r="13" spans="1:8">
      <c r="F13" s="8"/>
    </row>
    <row r="14" spans="1:8">
      <c r="F14" s="8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F14"/>
  <sheetViews>
    <sheetView zoomScale="110" zoomScaleNormal="110" workbookViewId="0">
      <selection activeCell="E4" sqref="E4"/>
    </sheetView>
  </sheetViews>
  <sheetFormatPr defaultRowHeight="14.4"/>
  <cols>
    <col min="1" max="1" width="2.44140625" customWidth="1"/>
    <col min="2" max="2" width="10.21875" customWidth="1"/>
    <col min="3" max="3" width="20.6640625" customWidth="1"/>
    <col min="4" max="4" width="15.109375" customWidth="1"/>
    <col min="5" max="5" width="19.5546875" customWidth="1"/>
    <col min="6" max="6" width="18.33203125" customWidth="1"/>
    <col min="7" max="7" width="27.44140625" customWidth="1"/>
  </cols>
  <sheetData>
    <row r="1" spans="1:6" ht="20.25" customHeight="1">
      <c r="A1" s="9"/>
    </row>
    <row r="2" spans="1:6" ht="15.6" customHeight="1"/>
    <row r="3" spans="1:6">
      <c r="B3" s="1" t="s">
        <v>21</v>
      </c>
      <c r="C3" s="2" t="s">
        <v>39</v>
      </c>
    </row>
    <row r="4" spans="1:6" ht="72">
      <c r="B4" s="3" t="s">
        <v>22</v>
      </c>
      <c r="C4" s="10" t="str">
        <f>VLOOKUP(B4,'Data Numbers'!$A$3:$B$9,2,FALSE)</f>
        <v>(312) 456 7890</v>
      </c>
      <c r="D4" s="29" t="s">
        <v>62</v>
      </c>
    </row>
    <row r="5" spans="1:6">
      <c r="B5" t="s">
        <v>26</v>
      </c>
      <c r="C5" s="10" t="str">
        <f>VLOOKUP(B5,'Data Numbers'!$A$3:$B$9,2,FALSE)</f>
        <v>(602) 803 5566</v>
      </c>
    </row>
    <row r="6" spans="1:6">
      <c r="B6" t="s">
        <v>28</v>
      </c>
      <c r="C6" s="10" t="str">
        <f>VLOOKUP(B6,'Data Numbers'!$A$3:$B$9,2,FALSE)</f>
        <v>(206) 900 9988</v>
      </c>
    </row>
    <row r="11" spans="1:6">
      <c r="F11" s="8"/>
    </row>
    <row r="12" spans="1:6">
      <c r="F12" s="8"/>
    </row>
    <row r="13" spans="1:6">
      <c r="F13" s="8"/>
    </row>
    <row r="14" spans="1:6">
      <c r="F14" s="8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zoomScale="110" zoomScaleNormal="110" workbookViewId="0">
      <selection activeCell="B9" sqref="B9"/>
    </sheetView>
  </sheetViews>
  <sheetFormatPr defaultRowHeight="14.4"/>
  <cols>
    <col min="1" max="1" width="9.109375" bestFit="1" customWidth="1"/>
    <col min="2" max="2" width="21.6640625" customWidth="1"/>
    <col min="3" max="3" width="22.109375" bestFit="1" customWidth="1"/>
  </cols>
  <sheetData>
    <row r="2" spans="1:3">
      <c r="A2" s="6" t="s">
        <v>21</v>
      </c>
      <c r="B2" s="7" t="s">
        <v>39</v>
      </c>
      <c r="C2" s="6" t="s">
        <v>47</v>
      </c>
    </row>
    <row r="3" spans="1:3">
      <c r="A3" s="3" t="s">
        <v>22</v>
      </c>
      <c r="B3" t="s">
        <v>40</v>
      </c>
      <c r="C3" t="s">
        <v>50</v>
      </c>
    </row>
    <row r="4" spans="1:3">
      <c r="A4" s="4" t="s">
        <v>23</v>
      </c>
      <c r="B4" t="s">
        <v>41</v>
      </c>
      <c r="C4" t="s">
        <v>51</v>
      </c>
    </row>
    <row r="5" spans="1:3">
      <c r="A5" s="4" t="s">
        <v>24</v>
      </c>
      <c r="B5" t="s">
        <v>42</v>
      </c>
      <c r="C5" t="s">
        <v>49</v>
      </c>
    </row>
    <row r="6" spans="1:3">
      <c r="A6" t="s">
        <v>25</v>
      </c>
      <c r="B6" t="s">
        <v>43</v>
      </c>
      <c r="C6" t="s">
        <v>52</v>
      </c>
    </row>
    <row r="7" spans="1:3">
      <c r="A7" t="s">
        <v>26</v>
      </c>
      <c r="B7" t="s">
        <v>44</v>
      </c>
      <c r="C7" t="s">
        <v>53</v>
      </c>
    </row>
    <row r="8" spans="1:3">
      <c r="A8" t="s">
        <v>27</v>
      </c>
      <c r="B8" t="s">
        <v>45</v>
      </c>
      <c r="C8" t="s">
        <v>54</v>
      </c>
    </row>
    <row r="9" spans="1:3">
      <c r="A9" t="s">
        <v>28</v>
      </c>
      <c r="B9" t="s">
        <v>46</v>
      </c>
      <c r="C9" t="s">
        <v>48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I14"/>
  <sheetViews>
    <sheetView topLeftCell="A6" zoomScale="110" zoomScaleNormal="110" workbookViewId="0">
      <selection activeCell="E13" sqref="E13"/>
    </sheetView>
  </sheetViews>
  <sheetFormatPr defaultRowHeight="14.4"/>
  <cols>
    <col min="1" max="1" width="2.44140625" customWidth="1"/>
    <col min="2" max="3" width="10.21875" customWidth="1"/>
    <col min="4" max="4" width="15.33203125" customWidth="1"/>
    <col min="5" max="5" width="10.109375" customWidth="1"/>
    <col min="6" max="6" width="2" customWidth="1"/>
    <col min="7" max="7" width="18.33203125" customWidth="1"/>
    <col min="8" max="8" width="9.5546875" customWidth="1"/>
    <col min="9" max="9" width="9.44140625" customWidth="1"/>
  </cols>
  <sheetData>
    <row r="1" spans="1:9" ht="20.25" customHeight="1">
      <c r="A1" s="9"/>
    </row>
    <row r="2" spans="1:9" ht="20.25" customHeight="1"/>
    <row r="3" spans="1:9">
      <c r="B3" s="1" t="s">
        <v>21</v>
      </c>
      <c r="C3" s="13" t="s">
        <v>9</v>
      </c>
      <c r="D3" s="2" t="s">
        <v>10</v>
      </c>
      <c r="G3" s="6" t="s">
        <v>29</v>
      </c>
      <c r="H3" s="6" t="s">
        <v>9</v>
      </c>
      <c r="I3" s="6" t="s">
        <v>10</v>
      </c>
    </row>
    <row r="4" spans="1:9">
      <c r="B4" s="3" t="s">
        <v>22</v>
      </c>
      <c r="C4" s="14">
        <v>26</v>
      </c>
      <c r="D4" s="11" t="str">
        <f>VLOOKUP(C4,$H$4:$I$8,2,1)</f>
        <v>E</v>
      </c>
      <c r="G4" s="8" t="s">
        <v>11</v>
      </c>
      <c r="H4" s="8">
        <v>0</v>
      </c>
      <c r="I4" s="8" t="s">
        <v>12</v>
      </c>
    </row>
    <row r="5" spans="1:9">
      <c r="B5" s="4" t="s">
        <v>23</v>
      </c>
      <c r="C5" s="14">
        <v>82</v>
      </c>
      <c r="D5" s="11" t="str">
        <f t="shared" ref="D5:D10" si="0">VLOOKUP(C5,$H$4:$I$8,2,1)</f>
        <v>B</v>
      </c>
      <c r="G5" s="8" t="s">
        <v>13</v>
      </c>
      <c r="H5" s="8">
        <v>55</v>
      </c>
      <c r="I5" s="8" t="s">
        <v>14</v>
      </c>
    </row>
    <row r="6" spans="1:9">
      <c r="B6" s="4" t="s">
        <v>24</v>
      </c>
      <c r="C6" s="14">
        <v>99</v>
      </c>
      <c r="D6" s="11" t="str">
        <f t="shared" si="0"/>
        <v>A</v>
      </c>
      <c r="G6" s="8" t="s">
        <v>15</v>
      </c>
      <c r="H6" s="8">
        <v>70</v>
      </c>
      <c r="I6" s="8" t="s">
        <v>16</v>
      </c>
    </row>
    <row r="7" spans="1:9">
      <c r="B7" t="s">
        <v>25</v>
      </c>
      <c r="C7" s="15">
        <v>16</v>
      </c>
      <c r="D7" s="11" t="str">
        <f t="shared" si="0"/>
        <v>E</v>
      </c>
      <c r="G7" s="8" t="s">
        <v>17</v>
      </c>
      <c r="H7" s="8">
        <v>80</v>
      </c>
      <c r="I7" s="8" t="s">
        <v>18</v>
      </c>
    </row>
    <row r="8" spans="1:9">
      <c r="B8" t="s">
        <v>26</v>
      </c>
      <c r="C8" s="15">
        <v>75</v>
      </c>
      <c r="D8" s="11" t="str">
        <f t="shared" si="0"/>
        <v>C</v>
      </c>
      <c r="G8" s="8" t="s">
        <v>19</v>
      </c>
      <c r="H8" s="8">
        <v>90</v>
      </c>
      <c r="I8" s="8" t="s">
        <v>20</v>
      </c>
    </row>
    <row r="9" spans="1:9">
      <c r="B9" t="s">
        <v>27</v>
      </c>
      <c r="C9" s="15">
        <v>18</v>
      </c>
      <c r="D9" s="11" t="str">
        <f t="shared" si="0"/>
        <v>E</v>
      </c>
      <c r="G9" s="8"/>
      <c r="H9" s="8"/>
    </row>
    <row r="10" spans="1:9">
      <c r="B10" t="s">
        <v>28</v>
      </c>
      <c r="C10" s="15">
        <v>89</v>
      </c>
      <c r="D10" s="11" t="str">
        <f t="shared" si="0"/>
        <v>B</v>
      </c>
      <c r="G10" s="8"/>
      <c r="H10" s="8"/>
    </row>
    <row r="11" spans="1:9">
      <c r="G11" s="8"/>
      <c r="H11" s="8"/>
    </row>
    <row r="12" spans="1:9">
      <c r="G12" s="8"/>
      <c r="H12" s="8"/>
    </row>
    <row r="13" spans="1:9" ht="107.4">
      <c r="D13" s="29" t="s">
        <v>63</v>
      </c>
      <c r="G13" s="8"/>
      <c r="H13" s="8"/>
    </row>
    <row r="14" spans="1:9">
      <c r="G14" s="8"/>
      <c r="H14" s="8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G11"/>
  <sheetViews>
    <sheetView tabSelected="1" zoomScale="110" zoomScaleNormal="110" workbookViewId="0">
      <selection activeCell="C9" sqref="C9"/>
    </sheetView>
  </sheetViews>
  <sheetFormatPr defaultRowHeight="14.4"/>
  <cols>
    <col min="1" max="1" width="2.44140625" customWidth="1"/>
    <col min="2" max="2" width="10.21875" customWidth="1"/>
    <col min="3" max="3" width="20.6640625" customWidth="1"/>
    <col min="4" max="4" width="10.109375" customWidth="1"/>
    <col min="5" max="5" width="2" customWidth="1"/>
    <col min="6" max="6" width="12.44140625" customWidth="1"/>
    <col min="7" max="7" width="27.44140625" customWidth="1"/>
    <col min="8" max="8" width="11.6640625" customWidth="1"/>
  </cols>
  <sheetData>
    <row r="1" spans="1:7" ht="20.25" customHeight="1">
      <c r="A1" s="9"/>
    </row>
    <row r="2" spans="1:7" ht="15" customHeight="1"/>
    <row r="3" spans="1:7">
      <c r="B3" s="1" t="s">
        <v>56</v>
      </c>
      <c r="C3" s="2" t="s">
        <v>8</v>
      </c>
      <c r="F3" s="7" t="s">
        <v>30</v>
      </c>
      <c r="G3" s="7" t="s">
        <v>8</v>
      </c>
    </row>
    <row r="4" spans="1:7">
      <c r="B4" s="12" t="s">
        <v>32</v>
      </c>
      <c r="C4" s="10" t="str">
        <f>IFERROR(VLOOKUP(B4,$F$4:$G$11,2,FALSE),"Not found")</f>
        <v>Blend</v>
      </c>
      <c r="F4" s="12" t="s">
        <v>31</v>
      </c>
      <c r="G4" t="s">
        <v>0</v>
      </c>
    </row>
    <row r="5" spans="1:7">
      <c r="B5" s="12" t="s">
        <v>57</v>
      </c>
      <c r="C5" s="10" t="str">
        <f t="shared" ref="C5:C7" si="0">IFERROR(VLOOKUP(B5,$F$4:$G$11,2,FALSE),"Not found")</f>
        <v>Not found</v>
      </c>
      <c r="F5" s="12" t="s">
        <v>32</v>
      </c>
      <c r="G5" t="s">
        <v>1</v>
      </c>
    </row>
    <row r="6" spans="1:7">
      <c r="B6" s="12" t="s">
        <v>31</v>
      </c>
      <c r="C6" s="10" t="str">
        <f t="shared" si="0"/>
        <v>WenCaL US</v>
      </c>
      <c r="F6" s="12" t="s">
        <v>33</v>
      </c>
      <c r="G6" t="s">
        <v>2</v>
      </c>
    </row>
    <row r="7" spans="1:7">
      <c r="B7" s="12" t="s">
        <v>35</v>
      </c>
      <c r="C7" s="10" t="str">
        <f t="shared" si="0"/>
        <v>Sleops</v>
      </c>
      <c r="F7" s="12" t="s">
        <v>34</v>
      </c>
      <c r="G7" t="s">
        <v>3</v>
      </c>
    </row>
    <row r="8" spans="1:7">
      <c r="F8" s="12" t="s">
        <v>35</v>
      </c>
      <c r="G8" t="s">
        <v>4</v>
      </c>
    </row>
    <row r="9" spans="1:7">
      <c r="F9" s="12" t="s">
        <v>36</v>
      </c>
      <c r="G9" t="s">
        <v>5</v>
      </c>
    </row>
    <row r="10" spans="1:7">
      <c r="F10" s="12" t="s">
        <v>37</v>
      </c>
      <c r="G10" t="s">
        <v>6</v>
      </c>
    </row>
    <row r="11" spans="1:7" ht="28.8">
      <c r="C11" s="29" t="s">
        <v>64</v>
      </c>
      <c r="F11" s="12" t="s">
        <v>38</v>
      </c>
      <c r="G11" t="s">
        <v>7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XelPlus Insider</vt:lpstr>
      <vt:lpstr>Exact</vt:lpstr>
      <vt:lpstr>From another sheet</vt:lpstr>
      <vt:lpstr>Data Numbers</vt:lpstr>
      <vt:lpstr>Approximate</vt:lpstr>
      <vt:lpstr>Errors</vt:lpstr>
    </vt:vector>
  </TitlesOfParts>
  <Manager/>
  <Company>XelPlus.com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dc:description>This workbook is the property of XelPlus.com</dc:description>
  <cp:lastModifiedBy>Mic</cp:lastModifiedBy>
  <dcterms:created xsi:type="dcterms:W3CDTF">2024-03-06T18:36:29Z</dcterms:created>
  <dcterms:modified xsi:type="dcterms:W3CDTF">2026-02-26T16:27:42Z</dcterms:modified>
</cp:coreProperties>
</file>