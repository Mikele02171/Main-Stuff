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codeName="ThisWorkbook"/>
  <bookViews>
    <workbookView xWindow="-120" yWindow="-120" windowWidth="29040" windowHeight="13176" firstSheet="1" activeTab="4"/>
  </bookViews>
  <sheets>
    <sheet name="Sheet1" sheetId="3" state="hidden" r:id="rId1"/>
    <sheet name="More --&gt;" sheetId="7" r:id="rId2"/>
    <sheet name="Columns" sheetId="4" r:id="rId3"/>
    <sheet name="Rows" sheetId="5" r:id="rId4"/>
    <sheet name="Rows Formulas" sheetId="6" r:id="rId5"/>
  </sheets>
  <definedNames>
    <definedName name="_xlnm._FilterDatabase" localSheetId="3" hidden="1">Rows!$A$3:$C$18</definedName>
    <definedName name="_xlnm._FilterDatabase" localSheetId="4" hidden="1">'Rows Formulas'!$B$3:$D$18</definedName>
    <definedName name="_xlnm._FilterDatabase" localSheetId="0" hidden="1">Sheet1!$H$19:$K$27</definedName>
    <definedName name="_xlnm.Extract" localSheetId="0">Sheet1!$C$1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5" l="1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4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H4" i="6" l="1" a="1"/>
  <c r="H4" i="6" s="1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4" i="6"/>
  <c r="M9" i="3" a="1"/>
  <c r="M9" i="3" s="1"/>
  <c r="G20" i="3"/>
  <c r="K20" i="3"/>
  <c r="G21" i="3"/>
  <c r="G22" i="3"/>
  <c r="G23" i="3"/>
  <c r="G24" i="3"/>
  <c r="G25" i="3"/>
  <c r="G26" i="3"/>
  <c r="K21" i="3"/>
  <c r="K22" i="3"/>
  <c r="K23" i="3"/>
  <c r="K24" i="3"/>
  <c r="K25" i="3"/>
  <c r="K26" i="3"/>
  <c r="K27" i="3"/>
  <c r="J7" i="6"/>
  <c r="I7" i="6"/>
  <c r="H7" i="6"/>
  <c r="J6" i="6"/>
  <c r="I6" i="6"/>
  <c r="H6" i="6"/>
  <c r="J5" i="6"/>
  <c r="I5" i="6"/>
  <c r="H5" i="6"/>
  <c r="J4" i="6"/>
  <c r="I4" i="6"/>
  <c r="M10" i="3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<sst xmlns="http://schemas.openxmlformats.org/spreadsheetml/2006/main" count="214" uniqueCount="117">
  <si>
    <t>Free Tutorials</t>
  </si>
  <si>
    <t>Courses to help you succeed</t>
  </si>
  <si>
    <t>If you'd like to learn Excel in a structured way and in your own time, check out my bestselling courses:</t>
  </si>
  <si>
    <t>Camping Tools</t>
  </si>
  <si>
    <t>OD23</t>
  </si>
  <si>
    <t>Cycling Apparel &amp; Accessories</t>
  </si>
  <si>
    <t>OD24</t>
  </si>
  <si>
    <t>First show two columns</t>
  </si>
  <si>
    <t>Bicycle Accessories</t>
  </si>
  <si>
    <t>OD25</t>
  </si>
  <si>
    <t>Then on one but with condition below - add helper formula in the end</t>
  </si>
  <si>
    <t>Office Chair Supplies</t>
  </si>
  <si>
    <t>OD26</t>
  </si>
  <si>
    <t>Office Chairs</t>
  </si>
  <si>
    <t>OD27</t>
  </si>
  <si>
    <t>OD40</t>
  </si>
  <si>
    <t>then formula to count</t>
  </si>
  <si>
    <t>Art &amp; Craft Kits</t>
  </si>
  <si>
    <t>OD28</t>
  </si>
  <si>
    <t>then dynamic array</t>
  </si>
  <si>
    <t>Art &amp; Crafting Tool Accessories</t>
  </si>
  <si>
    <t>OD29</t>
  </si>
  <si>
    <t>Collectible Weapons</t>
  </si>
  <si>
    <t>OD30</t>
  </si>
  <si>
    <t>MP3 Player Accessories</t>
  </si>
  <si>
    <t>OD31</t>
  </si>
  <si>
    <t>Signal Processors</t>
  </si>
  <si>
    <t>OD32</t>
  </si>
  <si>
    <t>Mobile Phone Accessories</t>
  </si>
  <si>
    <t>OD33</t>
  </si>
  <si>
    <t>Handheld Device Accessories</t>
  </si>
  <si>
    <t>OD34</t>
  </si>
  <si>
    <t>Input Device Accessories</t>
  </si>
  <si>
    <t>OD35</t>
  </si>
  <si>
    <t>Input Devices</t>
  </si>
  <si>
    <t>OD36</t>
  </si>
  <si>
    <t>Batteries</t>
  </si>
  <si>
    <t>Laptop Parts</t>
  </si>
  <si>
    <t>OD38</t>
  </si>
  <si>
    <t>Storage Devices</t>
  </si>
  <si>
    <t>Battery Accessories</t>
  </si>
  <si>
    <t>Printer Consumables</t>
  </si>
  <si>
    <t>Projector Accessories</t>
  </si>
  <si>
    <t>or use Countif to highlight the actual rows</t>
  </si>
  <si>
    <t>Musical Instrument Amplifier Accessories</t>
  </si>
  <si>
    <t>Percussion</t>
  </si>
  <si>
    <t>String Instruments</t>
  </si>
  <si>
    <t>Developing &amp; Processing Equipment</t>
  </si>
  <si>
    <t>Studio Lighting Controls</t>
  </si>
  <si>
    <t>Gift Wrapping</t>
  </si>
  <si>
    <t>OD22</t>
  </si>
  <si>
    <t>HIGHLIGHT DUPLICATES</t>
  </si>
  <si>
    <t>Segment 1</t>
  </si>
  <si>
    <t>Segment 2</t>
  </si>
  <si>
    <t>PR580</t>
  </si>
  <si>
    <t>PR370</t>
  </si>
  <si>
    <t>PR590</t>
  </si>
  <si>
    <t>PR490</t>
  </si>
  <si>
    <t>PR830</t>
  </si>
  <si>
    <t>PR540</t>
  </si>
  <si>
    <t>PR230</t>
  </si>
  <si>
    <t>PR480</t>
  </si>
  <si>
    <t>PR430</t>
  </si>
  <si>
    <t>PR240</t>
  </si>
  <si>
    <t>PR330</t>
  </si>
  <si>
    <t>PR380</t>
  </si>
  <si>
    <t>PR190</t>
  </si>
  <si>
    <t>PR520</t>
  </si>
  <si>
    <t>PR110</t>
  </si>
  <si>
    <t>PR570</t>
  </si>
  <si>
    <t>PR690</t>
  </si>
  <si>
    <t>PR500</t>
  </si>
  <si>
    <t>PR990</t>
  </si>
  <si>
    <t>PR930</t>
  </si>
  <si>
    <t>PR120</t>
  </si>
  <si>
    <t>PR450</t>
  </si>
  <si>
    <t>PR390</t>
  </si>
  <si>
    <t>PR310</t>
  </si>
  <si>
    <t>PR400</t>
  </si>
  <si>
    <t>PR360</t>
  </si>
  <si>
    <t>PR420</t>
  </si>
  <si>
    <t>PR530</t>
  </si>
  <si>
    <t>PR460</t>
  </si>
  <si>
    <t>PR600</t>
  </si>
  <si>
    <t>FIND DUPLICATE ROWS</t>
  </si>
  <si>
    <t>Product</t>
  </si>
  <si>
    <t>Customer</t>
  </si>
  <si>
    <t>Quantity</t>
  </si>
  <si>
    <t>C300</t>
  </si>
  <si>
    <t>C180</t>
  </si>
  <si>
    <t>C280</t>
  </si>
  <si>
    <t>C140</t>
  </si>
  <si>
    <t>C240</t>
  </si>
  <si>
    <t>C200</t>
  </si>
  <si>
    <t>C160</t>
  </si>
  <si>
    <t>C340</t>
  </si>
  <si>
    <t>C120</t>
  </si>
  <si>
    <t>C360</t>
  </si>
  <si>
    <t>C260</t>
  </si>
  <si>
    <t>FIND DUPLICATES</t>
  </si>
  <si>
    <t>Return Duplicate Rows</t>
  </si>
  <si>
    <t>Browse through my free Excel tutorials to discover dashboard tips, chart tricks and advanced formula techniques, as well as plenty of productivity hacks.</t>
  </si>
  <si>
    <t>Select Value Cells from Segment 1 and 2 -&gt; Home Pane -&gt; Conditional Formatting -&gt; Highlight Cell Values -&gt; Duplicate Values -&gt; Select Duplicate Downdown, select color to highlight duplicates from columns -&gt; OK</t>
  </si>
  <si>
    <t>PR370C30049000</t>
  </si>
  <si>
    <t>PR490C18053000</t>
  </si>
  <si>
    <t>PR540C28037000</t>
  </si>
  <si>
    <t>PR590C14045000</t>
  </si>
  <si>
    <t>PR480C24039000</t>
  </si>
  <si>
    <t>PR240C20035000</t>
  </si>
  <si>
    <t>PR190C16038000</t>
  </si>
  <si>
    <t>PR520C34034000</t>
  </si>
  <si>
    <t>PR590C12052000</t>
  </si>
  <si>
    <t>PR590C36042000</t>
  </si>
  <si>
    <t>PR990C28045000</t>
  </si>
  <si>
    <t>PR120C26050000</t>
  </si>
  <si>
    <t>PR520C34052000</t>
  </si>
  <si>
    <t>CONCAT() Not Updated in windows 8,Use =A4&amp;B4&amp;C4, then follow the instructions in columns. Then Number -&gt;Custom -&gt; replace General to ;;; to hide your values.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</si>
</sst>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;;;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363636"/>
      <name val="Lato"/>
      <family val="2"/>
    </font>
    <font>
      <u/>
      <sz val="11"/>
      <color theme="10"/>
      <name val="Schriftart für Textkörper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theme="1" tint="0.24994659260841701"/>
      </bottom>
      <diagonal/>
    </border>
    <border>
      <left/>
      <right/>
      <top/>
      <bottom style="medium">
        <color rgb="FF2981B9"/>
      </bottom>
      <diagonal/>
    </border>
    <border>
      <left/>
      <right/>
      <top/>
      <bottom style="medium">
        <color rgb="FF9DA85E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</borders>
  <cellStyleXfs count="7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1" applyFill="0" applyAlignment="0" applyProtection="0"/>
    <xf numFmtId="0" fontId="7" fillId="0" borderId="2" applyNumberFormat="0" applyFill="0" applyAlignment="0" applyProtection="0"/>
    <xf numFmtId="0" fontId="7" fillId="0" borderId="3" applyNumberFormat="0" applyFill="0" applyAlignment="0" applyProtection="0"/>
  </cellStyleXfs>
  <cellXfs count="24">
    <xf numFmtId="0" fontId="0" fillId="0" borderId="0" xfId="0"/>
    <xf numFmtId="0" fontId="1" fillId="0" borderId="0" xfId="1"/>
    <xf numFmtId="0" fontId="3" fillId="0" borderId="0" xfId="1" quotePrefix="1" applyFont="1"/>
    <xf numFmtId="0" fontId="4" fillId="0" borderId="0" xfId="1" applyFont="1"/>
    <xf numFmtId="0" fontId="2" fillId="0" borderId="0" xfId="2" applyFill="1" applyBorder="1"/>
    <xf numFmtId="0" fontId="5" fillId="0" borderId="0" xfId="3" applyFill="1" applyBorder="1"/>
    <xf numFmtId="0" fontId="1" fillId="2" borderId="0" xfId="1" applyFill="1"/>
    <xf numFmtId="0" fontId="1" fillId="3" borderId="0" xfId="1" applyFill="1"/>
    <xf numFmtId="0" fontId="1" fillId="0" borderId="0" xfId="0" applyFont="1"/>
    <xf numFmtId="164" fontId="0" fillId="0" borderId="0" xfId="0" applyNumberFormat="1"/>
    <xf numFmtId="0" fontId="0" fillId="0" borderId="0" xfId="0" quotePrefix="1"/>
    <xf numFmtId="0" fontId="7" fillId="0" borderId="4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Alignment="1">
      <alignment horizontal="center"/>
    </xf>
    <xf numFmtId="0" fontId="9" fillId="0" borderId="0" xfId="0" applyFont="1"/>
    <xf numFmtId="164" fontId="0" fillId="0" borderId="0" xfId="0" quotePrefix="1" applyNumberFormat="1"/>
    <xf numFmtId="0" fontId="1" fillId="0" borderId="0" xfId="1" applyAlignment="1">
      <alignment wrapText="1"/>
    </xf>
    <xf numFmtId="0" fontId="7" fillId="0" borderId="4" xfId="0" applyFont="1" applyBorder="1" applyAlignment="1">
      <alignment horizontal="center"/>
    </xf>
    <xf numFmtId="0" fontId="0" fillId="2" borderId="0" xfId="0" applyFill="1"/>
    <xf numFmtId="0" fontId="10" fillId="2" borderId="0" xfId="0" applyFont="1" applyFill="1"/>
    <xf numFmtId="0" fontId="11" fillId="0" borderId="0" xfId="0" applyFont="1" applyAlignment="1">
      <alignment wrapText="1"/>
    </xf>
    <xf numFmtId="0" fontId="7" fillId="0" borderId="0" xfId="0" applyFont="1" applyAlignment="1">
      <alignment wrapText="1"/>
    </xf>
  </cellXfs>
  <cellStyles count="7">
    <cellStyle name="Heading 1 2" xfId="5"/>
    <cellStyle name="Heading 2 2" xfId="6"/>
    <cellStyle name="Heading green" xfId="4"/>
    <cellStyle name="Hyperlink 2" xfId="2"/>
    <cellStyle name="Hyperlink 3" xfId="3"/>
    <cellStyle name="Normal" xfId="0" builtinId="0"/>
    <cellStyle name="Normal 2" xfId="1"/>
  </cellStyles>
  <dxfs count="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xelplus.com/tutorials/" TargetMode="External"/><Relationship Id="rId3" Type="http://schemas.openxmlformats.org/officeDocument/2006/relationships/hyperlink" Target="https://www.xelplus.com/" TargetMode="External"/><Relationship Id="rId7" Type="http://schemas.openxmlformats.org/officeDocument/2006/relationships/hyperlink" Target="https://www.xelplus.com/courses/" TargetMode="External"/><Relationship Id="rId2" Type="http://schemas.openxmlformats.org/officeDocument/2006/relationships/hyperlink" Target="https://www.xelplus.com/courses" TargetMode="External"/><Relationship Id="rId1" Type="http://schemas.openxmlformats.org/officeDocument/2006/relationships/image" Target="../media/image1.png"/><Relationship Id="rId6" Type="http://schemas.openxmlformats.org/officeDocument/2006/relationships/image" Target="../media/image3.png"/><Relationship Id="rId5" Type="http://schemas.openxmlformats.org/officeDocument/2006/relationships/image" Target="../media/image3.svg"/><Relationship Id="rId4" Type="http://schemas.openxmlformats.org/officeDocument/2006/relationships/image" Target="../media/image2.png"/><Relationship Id="rId9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137159</xdr:rowOff>
    </xdr:from>
    <xdr:to>
      <xdr:col>5</xdr:col>
      <xdr:colOff>388620</xdr:colOff>
      <xdr:row>12</xdr:row>
      <xdr:rowOff>53403</xdr:rowOff>
    </xdr:to>
    <xdr:pic>
      <xdr:nvPicPr>
        <xdr:cNvPr id="2" name="Picture 1" descr="Shape, circle&#10;&#10;Description automatically generated with medium confidence">
          <a:extLst>
            <a:ext uri="{FF2B5EF4-FFF2-40B4-BE49-F238E27FC236}">
              <a16:creationId xmlns:a16="http://schemas.microsoft.com/office/drawing/2014/main" xmlns="" id="{BB0DFEC8-A4C4-4829-94C8-17E8A5488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7159"/>
          <a:ext cx="6336983" cy="2635632"/>
        </a:xfrm>
        <a:prstGeom prst="rect">
          <a:avLst/>
        </a:prstGeom>
      </xdr:spPr>
    </xdr:pic>
    <xdr:clientData/>
  </xdr:twoCellAnchor>
  <xdr:oneCellAnchor>
    <xdr:from>
      <xdr:col>2</xdr:col>
      <xdr:colOff>114300</xdr:colOff>
      <xdr:row>1</xdr:row>
      <xdr:rowOff>9525</xdr:rowOff>
    </xdr:from>
    <xdr:ext cx="2571666" cy="64639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E2893716-35E6-43FB-BA7B-9F200596AE7B}"/>
            </a:ext>
          </a:extLst>
        </xdr:cNvPr>
        <xdr:cNvSpPr txBox="1"/>
      </xdr:nvSpPr>
      <xdr:spPr>
        <a:xfrm>
          <a:off x="219075" y="9525"/>
          <a:ext cx="2571666" cy="6463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3600" baseline="0">
              <a:solidFill>
                <a:srgbClr val="363636"/>
              </a:solidFill>
              <a:latin typeface="Roboto Black" panose="02000000000000000000" pitchFamily="2" charset="0"/>
              <a:ea typeface="Roboto Black" panose="02000000000000000000" pitchFamily="2" charset="0"/>
              <a:cs typeface="Roboto Black" panose="02000000000000000000" pitchFamily="2" charset="0"/>
            </a:rPr>
            <a:t>Learn More</a:t>
          </a:r>
          <a:endParaRPr lang="en-GB" sz="3600">
            <a:solidFill>
              <a:srgbClr val="363636"/>
            </a:solidFill>
            <a:latin typeface="Roboto Black" panose="02000000000000000000" pitchFamily="2" charset="0"/>
            <a:ea typeface="Roboto Black" panose="02000000000000000000" pitchFamily="2" charset="0"/>
            <a:cs typeface="Roboto Black" panose="02000000000000000000" pitchFamily="2" charset="0"/>
          </a:endParaRPr>
        </a:p>
      </xdr:txBody>
    </xdr:sp>
    <xdr:clientData/>
  </xdr:oneCellAnchor>
  <xdr:twoCellAnchor>
    <xdr:from>
      <xdr:col>7</xdr:col>
      <xdr:colOff>213361</xdr:colOff>
      <xdr:row>7</xdr:row>
      <xdr:rowOff>35860</xdr:rowOff>
    </xdr:from>
    <xdr:to>
      <xdr:col>13</xdr:col>
      <xdr:colOff>130629</xdr:colOff>
      <xdr:row>10</xdr:row>
      <xdr:rowOff>185058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BA9AA583-4B35-47C3-B5D7-864007CC52F0}"/>
            </a:ext>
          </a:extLst>
        </xdr:cNvPr>
        <xdr:cNvSpPr/>
      </xdr:nvSpPr>
      <xdr:spPr>
        <a:xfrm>
          <a:off x="7466649" y="1212198"/>
          <a:ext cx="3346268" cy="1349348"/>
        </a:xfrm>
        <a:prstGeom prst="roundRect">
          <a:avLst/>
        </a:prstGeom>
        <a:solidFill>
          <a:srgbClr val="FEF6F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200" b="0" i="1">
            <a:solidFill>
              <a:schemeClr val="tx1">
                <a:lumMod val="75000"/>
                <a:lumOff val="2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This course has enabled me to finish jobs in </a:t>
          </a:r>
          <a:b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5-10% of the time due to my ability to process Excel so far. It has also given me the confidence to better get around Excel.</a:t>
          </a:r>
        </a:p>
        <a:p>
          <a:pPr algn="l"/>
          <a:r>
            <a:rPr lang="en-US" sz="1200" b="1" i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200" b="1" i="1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Mitchell Ryan </a:t>
          </a:r>
          <a:endParaRPr lang="en-US" sz="1200" i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4</xdr:col>
      <xdr:colOff>457200</xdr:colOff>
      <xdr:row>11</xdr:row>
      <xdr:rowOff>108857</xdr:rowOff>
    </xdr:from>
    <xdr:to>
      <xdr:col>13</xdr:col>
      <xdr:colOff>163286</xdr:colOff>
      <xdr:row>20</xdr:row>
      <xdr:rowOff>119743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FC285493-161E-418B-965A-2BD9E206943A}"/>
            </a:ext>
          </a:extLst>
        </xdr:cNvPr>
        <xdr:cNvSpPr/>
      </xdr:nvSpPr>
      <xdr:spPr>
        <a:xfrm>
          <a:off x="5753100" y="2718707"/>
          <a:ext cx="5092474" cy="2206399"/>
        </a:xfrm>
        <a:prstGeom prst="roundRect">
          <a:avLst/>
        </a:prstGeom>
        <a:solidFill>
          <a:srgbClr val="FEF6F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I'm using Excel often at work as a business architect. I was able to achieve what I wanted a lot of the time but sometimes, I wasn't using the most efficient way. Hence, I subscribed to the Black Belt package. There were a lot of AH-HA moments! I'm now able to use Power Query and build good looking dashboards more easily but it's only the first course out of a series I'm taking with you. </a:t>
          </a:r>
          <a:b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I'm very excited about it!</a:t>
          </a:r>
        </a:p>
        <a:p>
          <a:pPr algn="l"/>
          <a:r>
            <a:rPr lang="en-US" sz="1200" b="1" i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200" b="1" i="1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Christian Fiset 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en-US" sz="1200" b="0" i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(Excel</a:t>
          </a:r>
          <a:r>
            <a:rPr lang="en-US" sz="1200" b="0" i="1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 Black Belt Bundle)</a:t>
          </a:r>
          <a:endParaRPr lang="en-US" sz="1200" i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 editAs="oneCell">
    <xdr:from>
      <xdr:col>7</xdr:col>
      <xdr:colOff>22860</xdr:colOff>
      <xdr:row>1</xdr:row>
      <xdr:rowOff>38100</xdr:rowOff>
    </xdr:from>
    <xdr:to>
      <xdr:col>14</xdr:col>
      <xdr:colOff>114300</xdr:colOff>
      <xdr:row>5</xdr:row>
      <xdr:rowOff>116484</xdr:rowOff>
    </xdr:to>
    <xdr:pic>
      <xdr:nvPicPr>
        <xdr:cNvPr id="6" name="Graphic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93350610-3EBE-4B3A-A4F9-5362B1066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5"/>
            </a:ext>
          </a:extLst>
        </a:blip>
        <a:stretch>
          <a:fillRect/>
        </a:stretch>
      </xdr:blipFill>
      <xdr:spPr>
        <a:xfrm>
          <a:off x="7276148" y="38100"/>
          <a:ext cx="3710940" cy="902297"/>
        </a:xfrm>
        <a:prstGeom prst="rect">
          <a:avLst/>
        </a:prstGeom>
      </xdr:spPr>
    </xdr:pic>
    <xdr:clientData/>
  </xdr:twoCellAnchor>
  <xdr:twoCellAnchor editAs="oneCell">
    <xdr:from>
      <xdr:col>9</xdr:col>
      <xdr:colOff>391467</xdr:colOff>
      <xdr:row>17</xdr:row>
      <xdr:rowOff>0</xdr:rowOff>
    </xdr:from>
    <xdr:to>
      <xdr:col>15</xdr:col>
      <xdr:colOff>1</xdr:colOff>
      <xdr:row>20</xdr:row>
      <xdr:rowOff>171611</xdr:rowOff>
    </xdr:to>
    <xdr:pic>
      <xdr:nvPicPr>
        <xdr:cNvPr id="7" name="Picture 6" descr="Logo&#10;&#10;Description automatically generated with medium confidence">
          <a:extLst>
            <a:ext uri="{FF2B5EF4-FFF2-40B4-BE49-F238E27FC236}">
              <a16:creationId xmlns:a16="http://schemas.microsoft.com/office/drawing/2014/main" xmlns="" id="{E430F6ED-DD29-433C-A75B-F23171E231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949680" y="4262438"/>
          <a:ext cx="2093437" cy="714536"/>
        </a:xfrm>
        <a:prstGeom prst="rect">
          <a:avLst/>
        </a:prstGeom>
      </xdr:spPr>
    </xdr:pic>
    <xdr:clientData/>
  </xdr:twoCellAnchor>
  <xdr:twoCellAnchor>
    <xdr:from>
      <xdr:col>3</xdr:col>
      <xdr:colOff>7621</xdr:colOff>
      <xdr:row>13</xdr:row>
      <xdr:rowOff>99060</xdr:rowOff>
    </xdr:from>
    <xdr:to>
      <xdr:col>3</xdr:col>
      <xdr:colOff>1836421</xdr:colOff>
      <xdr:row>14</xdr:row>
      <xdr:rowOff>99060</xdr:rowOff>
    </xdr:to>
    <xdr:sp macro="" textlink="">
      <xdr:nvSpPr>
        <xdr:cNvPr id="8" name="Flowchart: Terminator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xmlns="" id="{8F201436-4B05-483A-9887-33DF58A92BD5}"/>
            </a:ext>
          </a:extLst>
        </xdr:cNvPr>
        <xdr:cNvSpPr/>
      </xdr:nvSpPr>
      <xdr:spPr>
        <a:xfrm>
          <a:off x="336234" y="3199448"/>
          <a:ext cx="1828800" cy="504825"/>
        </a:xfrm>
        <a:prstGeom prst="flowChartTerminator">
          <a:avLst/>
        </a:prstGeom>
        <a:solidFill>
          <a:srgbClr val="EC4C4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0">
              <a:latin typeface="Proxima Nova" panose="02000506030000020004"/>
            </a:rPr>
            <a:t>Get a Course</a:t>
          </a:r>
        </a:p>
      </xdr:txBody>
    </xdr:sp>
    <xdr:clientData/>
  </xdr:twoCellAnchor>
  <xdr:twoCellAnchor>
    <xdr:from>
      <xdr:col>2</xdr:col>
      <xdr:colOff>137161</xdr:colOff>
      <xdr:row>8</xdr:row>
      <xdr:rowOff>175260</xdr:rowOff>
    </xdr:from>
    <xdr:to>
      <xdr:col>3</xdr:col>
      <xdr:colOff>1752601</xdr:colOff>
      <xdr:row>9</xdr:row>
      <xdr:rowOff>297180</xdr:rowOff>
    </xdr:to>
    <xdr:sp macro="" textlink="">
      <xdr:nvSpPr>
        <xdr:cNvPr id="9" name="Flowchart: Terminator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xmlns="" id="{F527F40F-FEA1-4004-8127-48AC4DA57DA7}"/>
            </a:ext>
          </a:extLst>
        </xdr:cNvPr>
        <xdr:cNvSpPr/>
      </xdr:nvSpPr>
      <xdr:spPr>
        <a:xfrm>
          <a:off x="241936" y="1646873"/>
          <a:ext cx="1839278" cy="502920"/>
        </a:xfrm>
        <a:prstGeom prst="flowChartTerminator">
          <a:avLst/>
        </a:prstGeom>
        <a:solidFill>
          <a:srgbClr val="197E4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0">
              <a:latin typeface="Proxima Nova" panose="02000506030000020004"/>
            </a:rPr>
            <a:t>Free Tutorials</a:t>
          </a:r>
        </a:p>
      </xdr:txBody>
    </xdr:sp>
    <xdr:clientData/>
  </xdr:twoCellAnchor>
  <xdr:twoCellAnchor editAs="oneCell">
    <xdr:from>
      <xdr:col>7</xdr:col>
      <xdr:colOff>348727</xdr:colOff>
      <xdr:row>7</xdr:row>
      <xdr:rowOff>104171</xdr:rowOff>
    </xdr:from>
    <xdr:to>
      <xdr:col>7</xdr:col>
      <xdr:colOff>556371</xdr:colOff>
      <xdr:row>7</xdr:row>
      <xdr:rowOff>270286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xmlns="" id="{5FAB2FBA-A926-44DF-B195-612F4757E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602015" y="1280509"/>
          <a:ext cx="207644" cy="166115"/>
        </a:xfrm>
        <a:prstGeom prst="rect">
          <a:avLst/>
        </a:prstGeom>
      </xdr:spPr>
    </xdr:pic>
    <xdr:clientData/>
  </xdr:twoCellAnchor>
  <xdr:twoCellAnchor editAs="oneCell">
    <xdr:from>
      <xdr:col>5</xdr:col>
      <xdr:colOff>100148</xdr:colOff>
      <xdr:row>12</xdr:row>
      <xdr:rowOff>109946</xdr:rowOff>
    </xdr:from>
    <xdr:to>
      <xdr:col>5</xdr:col>
      <xdr:colOff>303437</xdr:colOff>
      <xdr:row>12</xdr:row>
      <xdr:rowOff>276061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xmlns="" id="{3AAFB744-7272-497B-8E12-313693379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48511" y="2829334"/>
          <a:ext cx="203289" cy="1661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workbookViewId="0">
      <selection activeCell="O13" sqref="O13"/>
    </sheetView>
  </sheetViews>
  <sheetFormatPr defaultRowHeight="14.4"/>
  <cols>
    <col min="1" max="1" width="33.44140625" bestFit="1" customWidth="1"/>
    <col min="2" max="2" width="30.44140625" customWidth="1"/>
    <col min="11" max="11" width="2.33203125" customWidth="1"/>
  </cols>
  <sheetData>
    <row r="1" spans="1:15">
      <c r="A1" s="8" t="s">
        <v>3</v>
      </c>
      <c r="C1" s="8" t="s">
        <v>3</v>
      </c>
      <c r="H1" t="s">
        <v>4</v>
      </c>
    </row>
    <row r="2" spans="1:15">
      <c r="A2" s="8" t="s">
        <v>5</v>
      </c>
      <c r="C2" s="8" t="s">
        <v>5</v>
      </c>
      <c r="H2" t="s">
        <v>6</v>
      </c>
      <c r="J2" t="s">
        <v>6</v>
      </c>
      <c r="O2" t="s">
        <v>7</v>
      </c>
    </row>
    <row r="3" spans="1:15">
      <c r="A3" s="8" t="s">
        <v>8</v>
      </c>
      <c r="C3" s="8" t="s">
        <v>8</v>
      </c>
      <c r="H3" t="s">
        <v>9</v>
      </c>
      <c r="J3" t="s">
        <v>9</v>
      </c>
      <c r="O3" t="s">
        <v>10</v>
      </c>
    </row>
    <row r="4" spans="1:15">
      <c r="A4" s="8" t="s">
        <v>11</v>
      </c>
      <c r="C4" s="8" t="s">
        <v>11</v>
      </c>
      <c r="H4" t="s">
        <v>12</v>
      </c>
      <c r="J4" t="s">
        <v>12</v>
      </c>
    </row>
    <row r="5" spans="1:15">
      <c r="A5" s="8" t="s">
        <v>13</v>
      </c>
      <c r="C5" s="8" t="s">
        <v>13</v>
      </c>
      <c r="H5" t="s">
        <v>14</v>
      </c>
      <c r="J5" t="s">
        <v>15</v>
      </c>
      <c r="O5" t="s">
        <v>16</v>
      </c>
    </row>
    <row r="6" spans="1:15">
      <c r="A6" s="8" t="s">
        <v>17</v>
      </c>
      <c r="C6" s="8" t="s">
        <v>17</v>
      </c>
      <c r="H6" t="s">
        <v>18</v>
      </c>
      <c r="O6" t="s">
        <v>19</v>
      </c>
    </row>
    <row r="7" spans="1:15">
      <c r="A7" s="8" t="s">
        <v>20</v>
      </c>
      <c r="C7" s="8" t="s">
        <v>20</v>
      </c>
      <c r="H7" t="s">
        <v>21</v>
      </c>
    </row>
    <row r="8" spans="1:15">
      <c r="A8" s="8" t="s">
        <v>22</v>
      </c>
      <c r="C8" s="8" t="s">
        <v>22</v>
      </c>
      <c r="H8" t="s">
        <v>23</v>
      </c>
    </row>
    <row r="9" spans="1:15">
      <c r="A9" s="8" t="s">
        <v>24</v>
      </c>
      <c r="C9" s="8" t="s">
        <v>24</v>
      </c>
      <c r="H9" t="s">
        <v>25</v>
      </c>
      <c r="M9" t="str" cm="1">
        <f t="array" ref="M9:M10">_xlfn._xlws.FILTER(H1:H16,COUNTIF(H1:H16,H1:H16)&gt;1)</f>
        <v>OD27</v>
      </c>
    </row>
    <row r="10" spans="1:15">
      <c r="A10" s="8" t="s">
        <v>26</v>
      </c>
      <c r="C10" s="8" t="s">
        <v>26</v>
      </c>
      <c r="H10" t="s">
        <v>27</v>
      </c>
      <c r="M10" t="str">
        <v>OD27</v>
      </c>
    </row>
    <row r="11" spans="1:15">
      <c r="A11" s="8" t="s">
        <v>28</v>
      </c>
      <c r="C11" s="8" t="s">
        <v>28</v>
      </c>
      <c r="H11" t="s">
        <v>29</v>
      </c>
    </row>
    <row r="12" spans="1:15">
      <c r="A12" s="8" t="s">
        <v>30</v>
      </c>
      <c r="C12" s="8" t="s">
        <v>30</v>
      </c>
      <c r="H12" t="s">
        <v>31</v>
      </c>
    </row>
    <row r="13" spans="1:15">
      <c r="A13" s="8" t="s">
        <v>32</v>
      </c>
      <c r="C13" s="8" t="s">
        <v>32</v>
      </c>
      <c r="H13" t="s">
        <v>33</v>
      </c>
    </row>
    <row r="14" spans="1:15">
      <c r="A14" s="8" t="s">
        <v>34</v>
      </c>
      <c r="C14" s="8" t="s">
        <v>34</v>
      </c>
      <c r="H14" t="s">
        <v>35</v>
      </c>
    </row>
    <row r="15" spans="1:15">
      <c r="A15" s="8" t="s">
        <v>36</v>
      </c>
      <c r="C15" s="8" t="s">
        <v>36</v>
      </c>
      <c r="H15" t="s">
        <v>14</v>
      </c>
    </row>
    <row r="16" spans="1:15">
      <c r="A16" s="8" t="s">
        <v>37</v>
      </c>
      <c r="C16" s="8" t="s">
        <v>37</v>
      </c>
      <c r="H16" t="s">
        <v>38</v>
      </c>
    </row>
    <row r="17" spans="1:13">
      <c r="A17" s="8" t="s">
        <v>39</v>
      </c>
      <c r="C17" s="8" t="s">
        <v>39</v>
      </c>
    </row>
    <row r="18" spans="1:13">
      <c r="A18" s="8" t="s">
        <v>36</v>
      </c>
      <c r="C18" s="8" t="s">
        <v>40</v>
      </c>
    </row>
    <row r="19" spans="1:13">
      <c r="A19" s="8" t="s">
        <v>40</v>
      </c>
      <c r="C19" s="8" t="s">
        <v>41</v>
      </c>
    </row>
    <row r="20" spans="1:13">
      <c r="A20" s="8" t="s">
        <v>40</v>
      </c>
      <c r="C20" s="8" t="s">
        <v>42</v>
      </c>
      <c r="G20" t="b">
        <f>COUNTIF($H$20:$H$26,H20)&gt;1</f>
        <v>1</v>
      </c>
      <c r="H20" t="s">
        <v>29</v>
      </c>
      <c r="I20">
        <v>20</v>
      </c>
      <c r="J20">
        <v>23</v>
      </c>
      <c r="K20" s="9" t="str">
        <f>_xlfn.CONCAT(H20:J20)</f>
        <v>OD332023</v>
      </c>
      <c r="M20" t="s">
        <v>43</v>
      </c>
    </row>
    <row r="21" spans="1:13">
      <c r="A21" s="8" t="s">
        <v>41</v>
      </c>
      <c r="C21" s="8" t="s">
        <v>44</v>
      </c>
      <c r="G21" t="b">
        <f t="shared" ref="G21:G26" si="0">COUNTIF($H$20:$H$26,H21)&gt;1</f>
        <v>1</v>
      </c>
      <c r="H21" t="s">
        <v>31</v>
      </c>
      <c r="I21">
        <v>30</v>
      </c>
      <c r="J21">
        <v>50</v>
      </c>
      <c r="K21" s="9" t="str">
        <f t="shared" ref="K21:K27" si="1">_xlfn.CONCAT(H21:J21)</f>
        <v>OD343050</v>
      </c>
    </row>
    <row r="22" spans="1:13">
      <c r="A22" s="8" t="s">
        <v>42</v>
      </c>
      <c r="C22" s="8" t="s">
        <v>45</v>
      </c>
      <c r="G22" t="b">
        <f t="shared" si="0"/>
        <v>1</v>
      </c>
      <c r="H22" t="s">
        <v>29</v>
      </c>
      <c r="I22">
        <v>20</v>
      </c>
      <c r="J22">
        <v>23</v>
      </c>
      <c r="K22" s="9" t="str">
        <f t="shared" si="1"/>
        <v>OD332023</v>
      </c>
    </row>
    <row r="23" spans="1:13">
      <c r="A23" s="8" t="s">
        <v>44</v>
      </c>
      <c r="C23" s="8" t="s">
        <v>46</v>
      </c>
      <c r="G23" t="b">
        <f t="shared" si="0"/>
        <v>1</v>
      </c>
      <c r="H23" t="s">
        <v>31</v>
      </c>
      <c r="I23">
        <v>30</v>
      </c>
      <c r="J23">
        <v>60</v>
      </c>
      <c r="K23" s="9" t="str">
        <f t="shared" si="1"/>
        <v>OD343060</v>
      </c>
    </row>
    <row r="24" spans="1:13">
      <c r="A24" s="8" t="s">
        <v>45</v>
      </c>
      <c r="C24" s="8" t="s">
        <v>47</v>
      </c>
      <c r="G24" t="b">
        <f t="shared" si="0"/>
        <v>1</v>
      </c>
      <c r="H24" t="s">
        <v>31</v>
      </c>
      <c r="I24">
        <v>32</v>
      </c>
      <c r="J24">
        <v>25</v>
      </c>
      <c r="K24" s="9" t="str">
        <f t="shared" si="1"/>
        <v>OD343225</v>
      </c>
    </row>
    <row r="25" spans="1:13">
      <c r="A25" s="8" t="s">
        <v>46</v>
      </c>
      <c r="C25" s="8" t="s">
        <v>48</v>
      </c>
      <c r="G25" t="b">
        <f t="shared" si="0"/>
        <v>1</v>
      </c>
      <c r="H25" t="s">
        <v>31</v>
      </c>
      <c r="I25">
        <v>30</v>
      </c>
      <c r="J25">
        <v>60</v>
      </c>
      <c r="K25" s="9" t="str">
        <f t="shared" si="1"/>
        <v>OD343060</v>
      </c>
    </row>
    <row r="26" spans="1:13">
      <c r="A26" s="8" t="s">
        <v>47</v>
      </c>
      <c r="C26" s="8" t="s">
        <v>49</v>
      </c>
      <c r="G26" t="b">
        <f t="shared" si="0"/>
        <v>0</v>
      </c>
      <c r="H26" t="s">
        <v>50</v>
      </c>
      <c r="I26">
        <v>30</v>
      </c>
      <c r="J26">
        <v>60</v>
      </c>
      <c r="K26" s="9" t="str">
        <f t="shared" si="1"/>
        <v>OD223060</v>
      </c>
    </row>
    <row r="27" spans="1:13">
      <c r="A27" s="8" t="s">
        <v>48</v>
      </c>
      <c r="K27" s="9" t="str">
        <f t="shared" si="1"/>
        <v/>
      </c>
    </row>
    <row r="28" spans="1:13">
      <c r="A28" s="8" t="s">
        <v>49</v>
      </c>
    </row>
  </sheetData>
  <autoFilter ref="H19:K27"/>
  <phoneticPr fontId="8" type="noConversion"/>
  <conditionalFormatting sqref="A1:A28 C2:C28">
    <cfRule type="duplicateValues" dxfId="34" priority="13"/>
  </conditionalFormatting>
  <conditionalFormatting sqref="C1">
    <cfRule type="duplicateValues" dxfId="33" priority="11"/>
  </conditionalFormatting>
  <conditionalFormatting sqref="H1:H16 J2:J16">
    <cfRule type="duplicateValues" dxfId="32" priority="10"/>
  </conditionalFormatting>
  <conditionalFormatting sqref="H20:J26">
    <cfRule type="expression" dxfId="31" priority="1">
      <formula>_xlfn.CONCAT($H20:$J20)</formula>
    </cfRule>
  </conditionalFormatting>
  <conditionalFormatting sqref="K20:K27">
    <cfRule type="containsBlanks" dxfId="30" priority="4">
      <formula>LEN(TRIM(K20))=0</formula>
    </cfRule>
    <cfRule type="duplicateValues" dxfId="29" priority="14"/>
  </conditionalFormatting>
  <conditionalFormatting sqref="N1:N13">
    <cfRule type="duplicateValues" dxfId="28" priority="9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C4C4C"/>
    <pageSetUpPr fitToPage="1"/>
  </sheetPr>
  <dimension ref="A1:O25"/>
  <sheetViews>
    <sheetView showGridLines="0" showRowColHeaders="0" zoomScale="85" zoomScaleNormal="85" workbookViewId="0"/>
  </sheetViews>
  <sheetFormatPr defaultColWidth="0" defaultRowHeight="14.25" customHeight="1" zeroHeight="1"/>
  <cols>
    <col min="1" max="1" width="2.109375" style="6" customWidth="1"/>
    <col min="2" max="2" width="1.44140625" style="6" customWidth="1"/>
    <col min="3" max="3" width="3.109375" style="6" customWidth="1"/>
    <col min="4" max="4" width="69.5546875" style="6" customWidth="1"/>
    <col min="5" max="7" width="9.109375" style="6" customWidth="1"/>
    <col min="8" max="12" width="9.109375" style="7" customWidth="1"/>
    <col min="13" max="13" width="2.33203125" style="7" customWidth="1"/>
    <col min="14" max="14" width="2.6640625" style="7" customWidth="1"/>
    <col min="15" max="15" width="2.44140625" style="7" customWidth="1"/>
    <col min="16" max="16384" width="9.109375" style="6" hidden="1"/>
  </cols>
  <sheetData>
    <row r="1" spans="3:15" ht="14.25" customHeight="1">
      <c r="H1" s="6"/>
      <c r="I1" s="6"/>
      <c r="J1" s="6"/>
      <c r="K1" s="6"/>
      <c r="L1" s="6"/>
      <c r="M1" s="6"/>
      <c r="N1" s="6"/>
      <c r="O1" s="6"/>
    </row>
    <row r="2" spans="3:15" s="1" customFormat="1" ht="14.4"/>
    <row r="3" spans="3:15" s="1" customFormat="1" ht="14.4"/>
    <row r="4" spans="3:15" s="1" customFormat="1" ht="14.4"/>
    <row r="5" spans="3:15" s="1" customFormat="1" ht="22.35" customHeight="1"/>
    <row r="6" spans="3:15" s="1" customFormat="1" ht="18">
      <c r="C6" s="2"/>
      <c r="D6" s="3" t="s">
        <v>0</v>
      </c>
    </row>
    <row r="7" spans="3:15" s="1" customFormat="1" ht="9.9" customHeight="1">
      <c r="D7" s="4"/>
      <c r="E7" s="4"/>
      <c r="F7" s="4"/>
    </row>
    <row r="8" spans="3:15" s="1" customFormat="1" ht="23.4" customHeight="1">
      <c r="D8" s="18" t="s">
        <v>101</v>
      </c>
    </row>
    <row r="9" spans="3:15" s="1" customFormat="1" ht="30" customHeight="1">
      <c r="D9" s="18"/>
    </row>
    <row r="10" spans="3:15" s="1" customFormat="1" ht="41.4" customHeight="1">
      <c r="D10" s="18"/>
    </row>
    <row r="11" spans="3:15" s="1" customFormat="1" ht="21" customHeight="1">
      <c r="D11" s="3" t="s">
        <v>1</v>
      </c>
    </row>
    <row r="12" spans="3:15" s="1" customFormat="1" ht="6" customHeight="1">
      <c r="D12" s="5"/>
      <c r="E12" s="4"/>
      <c r="F12" s="4"/>
      <c r="G12" s="4"/>
    </row>
    <row r="13" spans="3:15" s="1" customFormat="1" ht="30" customHeight="1">
      <c r="D13" s="18" t="s">
        <v>2</v>
      </c>
    </row>
    <row r="14" spans="3:15" s="1" customFormat="1" ht="39.75" customHeight="1"/>
    <row r="15" spans="3:15" s="1" customFormat="1" ht="17.25" customHeight="1">
      <c r="D15" s="5"/>
      <c r="F15" s="4"/>
      <c r="G15" s="4"/>
    </row>
    <row r="16" spans="3:15" s="1" customFormat="1" ht="24.75" customHeight="1">
      <c r="D16" s="3"/>
    </row>
    <row r="17" spans="2:15" s="1" customFormat="1" ht="9.9" customHeight="1"/>
    <row r="18" spans="2:15" s="1" customFormat="1" ht="14.4">
      <c r="D18" s="18"/>
    </row>
    <row r="19" spans="2:15" s="1" customFormat="1" ht="14.4"/>
    <row r="20" spans="2:15" s="1" customFormat="1" ht="14.4"/>
    <row r="21" spans="2:15" s="1" customFormat="1" ht="14.4">
      <c r="D21" s="5"/>
      <c r="E21" s="4"/>
      <c r="F21" s="4"/>
      <c r="G21" s="4"/>
    </row>
    <row r="22" spans="2:15" s="1" customFormat="1" ht="14.4" hidden="1">
      <c r="D22" s="5"/>
      <c r="E22" s="4"/>
      <c r="F22" s="4"/>
      <c r="G22" s="4"/>
    </row>
    <row r="23" spans="2:15" s="1" customFormat="1" ht="14.4" hidden="1">
      <c r="B23" s="5"/>
      <c r="C23" s="5"/>
      <c r="D23" s="5"/>
      <c r="E23" s="5"/>
      <c r="F23" s="5"/>
      <c r="G23" s="5"/>
    </row>
    <row r="24" spans="2:15" s="1" customFormat="1" ht="14.4" hidden="1">
      <c r="B24" s="5"/>
      <c r="C24" s="5"/>
      <c r="D24" s="5"/>
      <c r="E24" s="5"/>
      <c r="F24" s="5"/>
      <c r="G24" s="5"/>
    </row>
    <row r="25" spans="2:15" ht="14.4" hidden="1">
      <c r="H25" s="1"/>
      <c r="I25" s="1"/>
      <c r="J25" s="1"/>
      <c r="K25" s="1"/>
      <c r="L25" s="1"/>
      <c r="M25" s="1"/>
      <c r="N25" s="1"/>
      <c r="O25" s="1"/>
    </row>
  </sheetData>
  <pageMargins left="0.7" right="0.7" top="0.75" bottom="0.75" header="0.3" footer="0.3"/>
  <pageSetup paperSize="9" scale="7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showGridLines="0" topLeftCell="A6" zoomScale="130" zoomScaleNormal="130" workbookViewId="0">
      <selection activeCell="F6" sqref="F6"/>
    </sheetView>
  </sheetViews>
  <sheetFormatPr defaultRowHeight="14.4"/>
  <cols>
    <col min="2" max="2" width="4.44140625" customWidth="1"/>
    <col min="3" max="3" width="10" customWidth="1"/>
  </cols>
  <sheetData>
    <row r="1" spans="1:7">
      <c r="A1" s="19" t="s">
        <v>51</v>
      </c>
      <c r="B1" s="19"/>
      <c r="C1" s="19"/>
    </row>
    <row r="2" spans="1:7" ht="6.45" customHeight="1">
      <c r="G2" s="10"/>
    </row>
    <row r="3" spans="1:7">
      <c r="A3" s="11" t="s">
        <v>52</v>
      </c>
      <c r="C3" s="11" t="s">
        <v>53</v>
      </c>
    </row>
    <row r="4" spans="1:7">
      <c r="A4" s="21" t="s">
        <v>54</v>
      </c>
      <c r="B4" s="20"/>
      <c r="C4" s="20" t="s">
        <v>55</v>
      </c>
    </row>
    <row r="5" spans="1:7">
      <c r="A5" s="21" t="s">
        <v>56</v>
      </c>
      <c r="B5" s="20"/>
      <c r="C5" s="20" t="s">
        <v>57</v>
      </c>
    </row>
    <row r="6" spans="1:7" ht="215.4">
      <c r="A6" s="21" t="s">
        <v>58</v>
      </c>
      <c r="B6" s="20"/>
      <c r="C6" s="20" t="s">
        <v>59</v>
      </c>
      <c r="E6" s="22" t="s">
        <v>102</v>
      </c>
    </row>
    <row r="7" spans="1:7">
      <c r="A7" s="21" t="s">
        <v>55</v>
      </c>
      <c r="B7" s="20"/>
      <c r="C7" s="20" t="s">
        <v>56</v>
      </c>
    </row>
    <row r="8" spans="1:7">
      <c r="A8" s="21" t="s">
        <v>60</v>
      </c>
      <c r="B8" s="20"/>
      <c r="C8" s="20" t="s">
        <v>61</v>
      </c>
      <c r="F8" s="15"/>
    </row>
    <row r="9" spans="1:7">
      <c r="A9" s="21" t="s">
        <v>62</v>
      </c>
      <c r="B9" s="20"/>
      <c r="C9" s="20" t="s">
        <v>63</v>
      </c>
    </row>
    <row r="10" spans="1:7">
      <c r="A10" s="21" t="s">
        <v>57</v>
      </c>
      <c r="B10" s="20"/>
      <c r="C10" s="20" t="s">
        <v>64</v>
      </c>
    </row>
    <row r="11" spans="1:7">
      <c r="A11" s="21" t="s">
        <v>65</v>
      </c>
      <c r="B11" s="20"/>
      <c r="C11" s="20" t="s">
        <v>66</v>
      </c>
    </row>
    <row r="12" spans="1:7">
      <c r="A12" s="21" t="s">
        <v>66</v>
      </c>
      <c r="B12" s="20"/>
      <c r="C12" s="20" t="s">
        <v>67</v>
      </c>
    </row>
    <row r="13" spans="1:7">
      <c r="A13" s="21" t="s">
        <v>68</v>
      </c>
      <c r="B13" s="20"/>
      <c r="C13" s="20" t="s">
        <v>65</v>
      </c>
    </row>
    <row r="14" spans="1:7">
      <c r="A14" s="21" t="s">
        <v>69</v>
      </c>
      <c r="B14" s="20"/>
      <c r="C14" s="20" t="s">
        <v>70</v>
      </c>
    </row>
    <row r="15" spans="1:7">
      <c r="A15" s="21" t="s">
        <v>71</v>
      </c>
      <c r="B15" s="20"/>
      <c r="C15" s="20" t="s">
        <v>72</v>
      </c>
    </row>
    <row r="16" spans="1:7">
      <c r="A16" s="21" t="s">
        <v>73</v>
      </c>
      <c r="B16" s="20"/>
      <c r="C16" s="20" t="s">
        <v>74</v>
      </c>
    </row>
    <row r="17" spans="1:3">
      <c r="A17" s="21" t="s">
        <v>75</v>
      </c>
      <c r="B17" s="20"/>
      <c r="C17" s="20" t="s">
        <v>76</v>
      </c>
    </row>
    <row r="18" spans="1:3">
      <c r="A18" s="21" t="s">
        <v>77</v>
      </c>
      <c r="B18" s="20"/>
      <c r="C18" s="20" t="s">
        <v>78</v>
      </c>
    </row>
    <row r="19" spans="1:3">
      <c r="A19" s="21" t="s">
        <v>79</v>
      </c>
      <c r="B19" s="20"/>
      <c r="C19" s="20"/>
    </row>
    <row r="20" spans="1:3">
      <c r="A20" s="21" t="s">
        <v>80</v>
      </c>
      <c r="B20" s="20"/>
      <c r="C20" s="20"/>
    </row>
    <row r="21" spans="1:3">
      <c r="A21" s="21" t="s">
        <v>81</v>
      </c>
      <c r="B21" s="20"/>
      <c r="C21" s="20"/>
    </row>
    <row r="22" spans="1:3">
      <c r="A22" s="21" t="s">
        <v>82</v>
      </c>
      <c r="B22" s="20"/>
      <c r="C22" s="20"/>
    </row>
    <row r="23" spans="1:3">
      <c r="A23" s="21" t="s">
        <v>83</v>
      </c>
      <c r="B23" s="20"/>
      <c r="C23" s="20"/>
    </row>
  </sheetData>
  <mergeCells count="1">
    <mergeCell ref="A1:C1"/>
  </mergeCells>
  <conditionalFormatting sqref="A4:A23 C4:C18">
    <cfRule type="duplicateValues" dxfId="27" priority="2"/>
  </conditionalFormatting>
  <conditionalFormatting sqref="C4:C18 A4:A23">
    <cfRule type="duplicateValues" dxfId="26" priority="1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showGridLines="0" topLeftCell="C1" zoomScale="120" zoomScaleNormal="120" workbookViewId="0">
      <selection activeCell="G8" sqref="G7:G8"/>
    </sheetView>
  </sheetViews>
  <sheetFormatPr defaultRowHeight="14.4"/>
  <cols>
    <col min="1" max="1" width="10" customWidth="1"/>
    <col min="2" max="2" width="11.44140625" customWidth="1"/>
    <col min="3" max="3" width="12.109375" customWidth="1"/>
    <col min="4" max="4" width="20.6640625" customWidth="1"/>
    <col min="5" max="6" width="15.44140625" bestFit="1" customWidth="1"/>
    <col min="7" max="7" width="47.77734375" bestFit="1" customWidth="1"/>
  </cols>
  <sheetData>
    <row r="1" spans="1:7">
      <c r="A1" s="19" t="s">
        <v>84</v>
      </c>
      <c r="B1" s="19"/>
      <c r="C1" s="19"/>
    </row>
    <row r="2" spans="1:7">
      <c r="D2" s="10"/>
    </row>
    <row r="3" spans="1:7">
      <c r="A3" s="11" t="s">
        <v>85</v>
      </c>
      <c r="B3" s="11" t="s">
        <v>86</v>
      </c>
      <c r="C3" s="11" t="s">
        <v>87</v>
      </c>
      <c r="D3" s="10"/>
    </row>
    <row r="4" spans="1:7">
      <c r="A4" s="13" t="s">
        <v>55</v>
      </c>
      <c r="B4" s="13" t="s">
        <v>88</v>
      </c>
      <c r="C4" s="13">
        <v>49000</v>
      </c>
      <c r="D4" s="17" t="str">
        <f>A4&amp;B4&amp;C4</f>
        <v>PR370C30049000</v>
      </c>
      <c r="E4" t="s">
        <v>103</v>
      </c>
      <c r="F4" s="9" t="str">
        <f>A4&amp;B4&amp;C4</f>
        <v>PR370C30049000</v>
      </c>
    </row>
    <row r="5" spans="1:7" ht="57.6">
      <c r="A5" s="14" t="s">
        <v>57</v>
      </c>
      <c r="B5" s="14" t="s">
        <v>89</v>
      </c>
      <c r="C5" s="14">
        <v>53000</v>
      </c>
      <c r="D5" s="17" t="str">
        <f t="shared" ref="D5:D18" si="0">A5&amp;B5&amp;C5</f>
        <v>PR490C18053000</v>
      </c>
      <c r="E5" t="s">
        <v>104</v>
      </c>
      <c r="F5" s="9" t="str">
        <f t="shared" ref="F5:F18" si="1">A5&amp;B5&amp;C5</f>
        <v>PR490C18053000</v>
      </c>
      <c r="G5" s="23" t="s">
        <v>116</v>
      </c>
    </row>
    <row r="6" spans="1:7">
      <c r="A6" s="14" t="s">
        <v>59</v>
      </c>
      <c r="B6" s="14" t="s">
        <v>90</v>
      </c>
      <c r="C6" s="14">
        <v>37000</v>
      </c>
      <c r="D6" s="17" t="str">
        <f t="shared" si="0"/>
        <v>PR540C28037000</v>
      </c>
      <c r="E6" t="s">
        <v>105</v>
      </c>
      <c r="F6" s="9" t="str">
        <f t="shared" si="1"/>
        <v>PR540C28037000</v>
      </c>
    </row>
    <row r="7" spans="1:7">
      <c r="A7" s="14" t="s">
        <v>56</v>
      </c>
      <c r="B7" s="14" t="s">
        <v>91</v>
      </c>
      <c r="C7" s="14">
        <v>45000</v>
      </c>
      <c r="D7" s="17" t="str">
        <f t="shared" si="0"/>
        <v>PR590C14045000</v>
      </c>
      <c r="E7" t="s">
        <v>106</v>
      </c>
      <c r="F7" s="9" t="str">
        <f t="shared" si="1"/>
        <v>PR590C14045000</v>
      </c>
    </row>
    <row r="8" spans="1:7">
      <c r="A8" s="14" t="s">
        <v>61</v>
      </c>
      <c r="B8" s="14" t="s">
        <v>92</v>
      </c>
      <c r="C8" s="14">
        <v>39000</v>
      </c>
      <c r="D8" s="17" t="str">
        <f t="shared" si="0"/>
        <v>PR480C24039000</v>
      </c>
      <c r="E8" t="s">
        <v>107</v>
      </c>
      <c r="F8" s="9" t="str">
        <f t="shared" si="1"/>
        <v>PR480C24039000</v>
      </c>
    </row>
    <row r="9" spans="1:7">
      <c r="A9" s="14" t="s">
        <v>63</v>
      </c>
      <c r="B9" s="14" t="s">
        <v>93</v>
      </c>
      <c r="C9" s="14">
        <v>35000</v>
      </c>
      <c r="D9" s="17" t="str">
        <f t="shared" si="0"/>
        <v>PR240C20035000</v>
      </c>
      <c r="E9" t="s">
        <v>108</v>
      </c>
      <c r="F9" s="9" t="str">
        <f t="shared" si="1"/>
        <v>PR240C20035000</v>
      </c>
    </row>
    <row r="10" spans="1:7">
      <c r="A10" s="14" t="s">
        <v>57</v>
      </c>
      <c r="B10" s="14" t="s">
        <v>89</v>
      </c>
      <c r="C10" s="14">
        <v>53000</v>
      </c>
      <c r="D10" s="17" t="str">
        <f t="shared" si="0"/>
        <v>PR490C18053000</v>
      </c>
      <c r="E10" t="s">
        <v>104</v>
      </c>
      <c r="F10" s="9" t="str">
        <f t="shared" si="1"/>
        <v>PR490C18053000</v>
      </c>
    </row>
    <row r="11" spans="1:7">
      <c r="A11" s="14" t="s">
        <v>66</v>
      </c>
      <c r="B11" s="14" t="s">
        <v>94</v>
      </c>
      <c r="C11" s="14">
        <v>38000</v>
      </c>
      <c r="D11" s="17" t="str">
        <f t="shared" si="0"/>
        <v>PR190C16038000</v>
      </c>
      <c r="E11" t="s">
        <v>109</v>
      </c>
      <c r="F11" s="9" t="str">
        <f t="shared" si="1"/>
        <v>PR190C16038000</v>
      </c>
    </row>
    <row r="12" spans="1:7">
      <c r="A12" s="14" t="s">
        <v>67</v>
      </c>
      <c r="B12" s="14" t="s">
        <v>95</v>
      </c>
      <c r="C12" s="14">
        <v>34000</v>
      </c>
      <c r="D12" s="17" t="str">
        <f t="shared" si="0"/>
        <v>PR520C34034000</v>
      </c>
      <c r="E12" t="s">
        <v>110</v>
      </c>
      <c r="F12" s="9" t="str">
        <f t="shared" si="1"/>
        <v>PR520C34034000</v>
      </c>
    </row>
    <row r="13" spans="1:7">
      <c r="A13" s="14" t="s">
        <v>56</v>
      </c>
      <c r="B13" s="14" t="s">
        <v>96</v>
      </c>
      <c r="C13" s="14">
        <v>52000</v>
      </c>
      <c r="D13" s="17" t="str">
        <f t="shared" si="0"/>
        <v>PR590C12052000</v>
      </c>
      <c r="E13" t="s">
        <v>111</v>
      </c>
      <c r="F13" s="9" t="str">
        <f t="shared" si="1"/>
        <v>PR590C12052000</v>
      </c>
    </row>
    <row r="14" spans="1:7">
      <c r="A14" s="14" t="s">
        <v>56</v>
      </c>
      <c r="B14" s="14" t="s">
        <v>97</v>
      </c>
      <c r="C14" s="14">
        <v>42000</v>
      </c>
      <c r="D14" s="17" t="str">
        <f t="shared" si="0"/>
        <v>PR590C36042000</v>
      </c>
      <c r="E14" t="s">
        <v>112</v>
      </c>
      <c r="F14" s="9" t="str">
        <f t="shared" si="1"/>
        <v>PR590C36042000</v>
      </c>
    </row>
    <row r="15" spans="1:7">
      <c r="A15" s="14" t="s">
        <v>72</v>
      </c>
      <c r="B15" s="14" t="s">
        <v>90</v>
      </c>
      <c r="C15" s="14">
        <v>45000</v>
      </c>
      <c r="D15" s="17" t="str">
        <f t="shared" si="0"/>
        <v>PR990C28045000</v>
      </c>
      <c r="E15" t="s">
        <v>113</v>
      </c>
      <c r="F15" s="9" t="str">
        <f t="shared" si="1"/>
        <v>PR990C28045000</v>
      </c>
    </row>
    <row r="16" spans="1:7">
      <c r="A16" s="14" t="s">
        <v>74</v>
      </c>
      <c r="B16" s="14" t="s">
        <v>98</v>
      </c>
      <c r="C16" s="14">
        <v>50000</v>
      </c>
      <c r="D16" s="17" t="str">
        <f t="shared" si="0"/>
        <v>PR120C26050000</v>
      </c>
      <c r="E16" t="s">
        <v>114</v>
      </c>
      <c r="F16" s="9" t="str">
        <f t="shared" si="1"/>
        <v>PR120C26050000</v>
      </c>
    </row>
    <row r="17" spans="1:6">
      <c r="A17" s="14" t="s">
        <v>67</v>
      </c>
      <c r="B17" s="14" t="s">
        <v>95</v>
      </c>
      <c r="C17" s="14">
        <v>52000</v>
      </c>
      <c r="D17" s="17" t="str">
        <f t="shared" si="0"/>
        <v>PR520C34052000</v>
      </c>
      <c r="E17" t="s">
        <v>115</v>
      </c>
      <c r="F17" s="9" t="str">
        <f t="shared" si="1"/>
        <v>PR520C34052000</v>
      </c>
    </row>
    <row r="18" spans="1:6">
      <c r="A18" s="14" t="s">
        <v>63</v>
      </c>
      <c r="B18" s="14" t="s">
        <v>93</v>
      </c>
      <c r="C18" s="14">
        <v>35000</v>
      </c>
      <c r="D18" s="17" t="str">
        <f t="shared" si="0"/>
        <v>PR240C20035000</v>
      </c>
      <c r="E18" t="s">
        <v>108</v>
      </c>
      <c r="F18" s="9" t="str">
        <f t="shared" si="1"/>
        <v>PR240C20035000</v>
      </c>
    </row>
  </sheetData>
  <autoFilter ref="A3:C18"/>
  <sortState ref="B4:C18">
    <sortCondition ref="C4:C18"/>
  </sortState>
  <mergeCells count="1">
    <mergeCell ref="A1:C1"/>
  </mergeCells>
  <phoneticPr fontId="8" type="noConversion"/>
  <conditionalFormatting sqref="D4:D18">
    <cfRule type="duplicateValues" dxfId="22" priority="4"/>
  </conditionalFormatting>
  <conditionalFormatting sqref="F4:F18">
    <cfRule type="duplicateValues" dxfId="23" priority="3"/>
  </conditionalFormatting>
  <conditionalFormatting sqref="E4:E18">
    <cfRule type="duplicateValues" dxfId="1" priority="1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showGridLines="0" tabSelected="1" zoomScale="120" zoomScaleNormal="120" workbookViewId="0">
      <selection activeCell="I11" sqref="I11"/>
    </sheetView>
  </sheetViews>
  <sheetFormatPr defaultRowHeight="14.4" outlineLevelCol="1"/>
  <cols>
    <col min="1" max="1" width="6.6640625" customWidth="1"/>
    <col min="2" max="2" width="11.44140625" customWidth="1"/>
    <col min="3" max="3" width="12.109375" customWidth="1"/>
    <col min="4" max="4" width="10.6640625" customWidth="1"/>
    <col min="5" max="5" width="15.44140625" bestFit="1" customWidth="1" outlineLevel="1"/>
    <col min="8" max="8" width="7.44140625" customWidth="1"/>
  </cols>
  <sheetData>
    <row r="1" spans="1:10">
      <c r="A1" s="19" t="s">
        <v>99</v>
      </c>
      <c r="B1" s="19"/>
      <c r="C1" s="19"/>
      <c r="D1" s="19"/>
    </row>
    <row r="2" spans="1:10">
      <c r="D2" s="10"/>
    </row>
    <row r="3" spans="1:10">
      <c r="B3" s="11" t="s">
        <v>85</v>
      </c>
      <c r="C3" s="11" t="s">
        <v>86</v>
      </c>
      <c r="D3" s="11" t="s">
        <v>87</v>
      </c>
      <c r="H3" s="11" t="s">
        <v>100</v>
      </c>
      <c r="I3" s="12"/>
      <c r="J3" s="12"/>
    </row>
    <row r="4" spans="1:10">
      <c r="A4" t="b">
        <f>COUNTIF($B$4:$B$18,B4)&gt;1</f>
        <v>0</v>
      </c>
      <c r="B4" s="13" t="s">
        <v>55</v>
      </c>
      <c r="C4" s="13" t="s">
        <v>88</v>
      </c>
      <c r="D4" s="13">
        <v>49000</v>
      </c>
      <c r="E4" s="16" t="str">
        <f>_xlfn.CONCAT(B4:D4)</f>
        <v>PR370C30049000</v>
      </c>
      <c r="F4" t="str">
        <f>IF(COUNTIF($E$4:$E$18,E4)&gt;1,"⛔","")</f>
        <v/>
      </c>
      <c r="H4" t="str" cm="1">
        <f t="array" ref="H4:J7">_xlfn._xlws.SORT(_xlfn._xlws.FILTER(B4:D18,COUNTIF(E4:E18,E4:E18)&gt;1,""),1)</f>
        <v>PR240</v>
      </c>
      <c r="I4" t="str">
        <v>C200</v>
      </c>
      <c r="J4">
        <v>35000</v>
      </c>
    </row>
    <row r="5" spans="1:10">
      <c r="A5" t="b">
        <f t="shared" ref="A5:A18" si="0">COUNTIF($B$4:$B$18,B5)&gt;1</f>
        <v>1</v>
      </c>
      <c r="B5" s="14" t="s">
        <v>57</v>
      </c>
      <c r="C5" s="14" t="s">
        <v>89</v>
      </c>
      <c r="D5" s="14">
        <v>53000</v>
      </c>
      <c r="E5" s="16" t="str">
        <f t="shared" ref="E5:E18" si="1">_xlfn.CONCAT(B5:D5)</f>
        <v>PR490C18053000</v>
      </c>
      <c r="F5" t="str">
        <f t="shared" ref="F5:F18" si="2">IF(COUNTIF($E$4:$E$18,E5)&gt;1,"⛔","")</f>
        <v>⛔</v>
      </c>
      <c r="H5" t="str">
        <v>PR240</v>
      </c>
      <c r="I5" t="str">
        <v>C200</v>
      </c>
      <c r="J5">
        <v>35000</v>
      </c>
    </row>
    <row r="6" spans="1:10">
      <c r="A6" t="b">
        <f t="shared" si="0"/>
        <v>0</v>
      </c>
      <c r="B6" s="14" t="s">
        <v>59</v>
      </c>
      <c r="C6" s="14" t="s">
        <v>90</v>
      </c>
      <c r="D6" s="14">
        <v>37000</v>
      </c>
      <c r="E6" s="16" t="str">
        <f t="shared" si="1"/>
        <v>PR540C28037000</v>
      </c>
      <c r="F6" t="str">
        <f t="shared" si="2"/>
        <v/>
      </c>
      <c r="H6" t="str">
        <v>PR490</v>
      </c>
      <c r="I6" t="str">
        <v>C180</v>
      </c>
      <c r="J6">
        <v>53000</v>
      </c>
    </row>
    <row r="7" spans="1:10">
      <c r="A7" t="b">
        <f t="shared" si="0"/>
        <v>1</v>
      </c>
      <c r="B7" s="14" t="s">
        <v>56</v>
      </c>
      <c r="C7" s="14" t="s">
        <v>91</v>
      </c>
      <c r="D7" s="14">
        <v>45000</v>
      </c>
      <c r="E7" s="16" t="str">
        <f t="shared" si="1"/>
        <v>PR590C14045000</v>
      </c>
      <c r="F7" t="str">
        <f t="shared" si="2"/>
        <v/>
      </c>
      <c r="H7" t="str">
        <v>PR490</v>
      </c>
      <c r="I7" t="str">
        <v>C180</v>
      </c>
      <c r="J7">
        <v>53000</v>
      </c>
    </row>
    <row r="8" spans="1:10">
      <c r="A8" t="b">
        <f t="shared" si="0"/>
        <v>0</v>
      </c>
      <c r="B8" s="14" t="s">
        <v>61</v>
      </c>
      <c r="C8" s="14" t="s">
        <v>92</v>
      </c>
      <c r="D8" s="14">
        <v>39000</v>
      </c>
      <c r="E8" s="16" t="str">
        <f t="shared" si="1"/>
        <v>PR480C24039000</v>
      </c>
      <c r="F8" t="str">
        <f t="shared" si="2"/>
        <v/>
      </c>
    </row>
    <row r="9" spans="1:10">
      <c r="A9" t="b">
        <f t="shared" si="0"/>
        <v>1</v>
      </c>
      <c r="B9" s="14" t="s">
        <v>63</v>
      </c>
      <c r="C9" s="14" t="s">
        <v>93</v>
      </c>
      <c r="D9" s="14">
        <v>35000</v>
      </c>
      <c r="E9" s="16" t="str">
        <f t="shared" si="1"/>
        <v>PR240C20035000</v>
      </c>
      <c r="F9" t="str">
        <f t="shared" si="2"/>
        <v>⛔</v>
      </c>
    </row>
    <row r="10" spans="1:10">
      <c r="A10" t="b">
        <f t="shared" si="0"/>
        <v>1</v>
      </c>
      <c r="B10" s="14" t="s">
        <v>57</v>
      </c>
      <c r="C10" s="14" t="s">
        <v>89</v>
      </c>
      <c r="D10" s="14">
        <v>53000</v>
      </c>
      <c r="E10" s="16" t="str">
        <f t="shared" si="1"/>
        <v>PR490C18053000</v>
      </c>
      <c r="F10" t="str">
        <f t="shared" si="2"/>
        <v>⛔</v>
      </c>
    </row>
    <row r="11" spans="1:10">
      <c r="A11" t="b">
        <f t="shared" si="0"/>
        <v>0</v>
      </c>
      <c r="B11" s="14" t="s">
        <v>66</v>
      </c>
      <c r="C11" s="14" t="s">
        <v>94</v>
      </c>
      <c r="D11" s="14">
        <v>38000</v>
      </c>
      <c r="E11" s="16" t="str">
        <f t="shared" si="1"/>
        <v>PR190C16038000</v>
      </c>
      <c r="F11" t="str">
        <f t="shared" si="2"/>
        <v/>
      </c>
    </row>
    <row r="12" spans="1:10">
      <c r="A12" t="b">
        <f t="shared" si="0"/>
        <v>1</v>
      </c>
      <c r="B12" s="14" t="s">
        <v>67</v>
      </c>
      <c r="C12" s="14" t="s">
        <v>95</v>
      </c>
      <c r="D12" s="14">
        <v>34000</v>
      </c>
      <c r="E12" s="16" t="str">
        <f t="shared" si="1"/>
        <v>PR520C34034000</v>
      </c>
      <c r="F12" t="str">
        <f t="shared" si="2"/>
        <v/>
      </c>
    </row>
    <row r="13" spans="1:10">
      <c r="A13" t="b">
        <f t="shared" si="0"/>
        <v>1</v>
      </c>
      <c r="B13" s="14" t="s">
        <v>56</v>
      </c>
      <c r="C13" s="14" t="s">
        <v>96</v>
      </c>
      <c r="D13" s="14">
        <v>52000</v>
      </c>
      <c r="E13" s="16" t="str">
        <f t="shared" si="1"/>
        <v>PR590C12052000</v>
      </c>
      <c r="F13" t="str">
        <f t="shared" si="2"/>
        <v/>
      </c>
    </row>
    <row r="14" spans="1:10">
      <c r="A14" t="b">
        <f t="shared" si="0"/>
        <v>1</v>
      </c>
      <c r="B14" s="14" t="s">
        <v>56</v>
      </c>
      <c r="C14" s="14" t="s">
        <v>97</v>
      </c>
      <c r="D14" s="14">
        <v>42000</v>
      </c>
      <c r="E14" s="16" t="str">
        <f t="shared" si="1"/>
        <v>PR590C36042000</v>
      </c>
      <c r="F14" t="str">
        <f t="shared" si="2"/>
        <v/>
      </c>
    </row>
    <row r="15" spans="1:10">
      <c r="A15" t="b">
        <f t="shared" si="0"/>
        <v>0</v>
      </c>
      <c r="B15" s="14" t="s">
        <v>72</v>
      </c>
      <c r="C15" s="14" t="s">
        <v>90</v>
      </c>
      <c r="D15" s="14">
        <v>45000</v>
      </c>
      <c r="E15" s="16" t="str">
        <f t="shared" si="1"/>
        <v>PR990C28045000</v>
      </c>
      <c r="F15" t="str">
        <f t="shared" si="2"/>
        <v/>
      </c>
    </row>
    <row r="16" spans="1:10">
      <c r="A16" t="b">
        <f t="shared" si="0"/>
        <v>0</v>
      </c>
      <c r="B16" s="14" t="s">
        <v>74</v>
      </c>
      <c r="C16" s="14" t="s">
        <v>98</v>
      </c>
      <c r="D16" s="14">
        <v>50000</v>
      </c>
      <c r="E16" s="16" t="str">
        <f t="shared" si="1"/>
        <v>PR120C26050000</v>
      </c>
      <c r="F16" t="str">
        <f t="shared" si="2"/>
        <v/>
      </c>
    </row>
    <row r="17" spans="1:6">
      <c r="A17" t="b">
        <f t="shared" si="0"/>
        <v>1</v>
      </c>
      <c r="B17" s="14" t="s">
        <v>67</v>
      </c>
      <c r="C17" s="14" t="s">
        <v>95</v>
      </c>
      <c r="D17" s="14">
        <v>52000</v>
      </c>
      <c r="E17" s="16" t="str">
        <f t="shared" si="1"/>
        <v>PR520C34052000</v>
      </c>
      <c r="F17" t="str">
        <f t="shared" si="2"/>
        <v/>
      </c>
    </row>
    <row r="18" spans="1:6">
      <c r="A18" t="b">
        <f t="shared" si="0"/>
        <v>1</v>
      </c>
      <c r="B18" s="14" t="s">
        <v>63</v>
      </c>
      <c r="C18" s="14" t="s">
        <v>93</v>
      </c>
      <c r="D18" s="14">
        <v>35000</v>
      </c>
      <c r="E18" s="16" t="str">
        <f t="shared" si="1"/>
        <v>PR240C20035000</v>
      </c>
      <c r="F18" t="str">
        <f t="shared" si="2"/>
        <v>⛔</v>
      </c>
    </row>
  </sheetData>
  <autoFilter ref="B3:D18"/>
  <mergeCells count="1">
    <mergeCell ref="A1:D1"/>
  </mergeCells>
  <conditionalFormatting sqref="B4:D18">
    <cfRule type="expression" dxfId="25" priority="1">
      <formula>$F4="⛔"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978176D7B6BC41934141C52985821B" ma:contentTypeVersion="17" ma:contentTypeDescription="Create a new document." ma:contentTypeScope="" ma:versionID="dc823f716a3a9bc4dd251b7513e4c14c">
  <xsd:schema xmlns:xsd="http://www.w3.org/2001/XMLSchema" xmlns:xs="http://www.w3.org/2001/XMLSchema" xmlns:p="http://schemas.microsoft.com/office/2006/metadata/properties" xmlns:ns2="8602ebc8-99ea-4c12-aabd-36e02eea0ec4" xmlns:ns3="8ea0a048-5e79-414d-a984-5fa877d55858" targetNamespace="http://schemas.microsoft.com/office/2006/metadata/properties" ma:root="true" ma:fieldsID="4d89de9affb5f399bf6d14bfd99ca407" ns2:_="" ns3:_="">
    <xsd:import namespace="8602ebc8-99ea-4c12-aabd-36e02eea0ec4"/>
    <xsd:import namespace="8ea0a048-5e79-414d-a984-5fa877d558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02ebc8-99ea-4c12-aabd-36e02eea0e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4d8f9d6-9daa-4c01-95ba-9fd911da66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a0a048-5e79-414d-a984-5fa877d5585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9c6fd0d-bccc-4929-be17-09f5c5a8f8af}" ma:internalName="TaxCatchAll" ma:showField="CatchAllData" ma:web="8ea0a048-5e79-414d-a984-5fa877d558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602ebc8-99ea-4c12-aabd-36e02eea0ec4">
      <Terms xmlns="http://schemas.microsoft.com/office/infopath/2007/PartnerControls"/>
    </lcf76f155ced4ddcb4097134ff3c332f>
    <TaxCatchAll xmlns="8ea0a048-5e79-414d-a984-5fa877d55858" xsi:nil="true"/>
  </documentManagement>
</p:properties>
</file>

<file path=customXml/itemProps1.xml><?xml version="1.0" encoding="utf-8"?>
<ds:datastoreItem xmlns:ds="http://schemas.openxmlformats.org/officeDocument/2006/customXml" ds:itemID="{F4D98D0E-9178-4B0D-83A7-993B0BC579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02ebc8-99ea-4c12-aabd-36e02eea0ec4"/>
    <ds:schemaRef ds:uri="8ea0a048-5e79-414d-a984-5fa877d558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DC35634-E663-485A-B89F-ED4EE4842D7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5E83435-4497-460A-AFE6-A55FFEB0967A}">
  <ds:schemaRefs>
    <ds:schemaRef ds:uri="http://schemas.microsoft.com/office/2006/metadata/properties"/>
    <ds:schemaRef ds:uri="http://schemas.microsoft.com/office/infopath/2007/PartnerControls"/>
    <ds:schemaRef ds:uri="8602ebc8-99ea-4c12-aabd-36e02eea0ec4"/>
    <ds:schemaRef ds:uri="8ea0a048-5e79-414d-a984-5fa877d5585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Sheet1</vt:lpstr>
      <vt:lpstr>More --&gt;</vt:lpstr>
      <vt:lpstr>Columns</vt:lpstr>
      <vt:lpstr>Rows</vt:lpstr>
      <vt:lpstr>Rows Formulas</vt:lpstr>
      <vt:lpstr>Sheet1!Extract</vt:lpstr>
    </vt:vector>
  </TitlesOfParts>
  <Manager/>
  <Company>XelPlus e.U.</Company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Leila Gharani</dc:creator>
  <cp:keywords/>
  <dc:description>www.xelplus.com</dc:description>
  <cp:lastModifiedBy>Mic</cp:lastModifiedBy>
  <cp:revision/>
  <dcterms:created xsi:type="dcterms:W3CDTF">2018-09-11T10:37:47Z</dcterms:created>
  <dcterms:modified xsi:type="dcterms:W3CDTF">2026-02-26T15:54:29Z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0x010100CF978176D7B6BC41934141C52985821B</vt:lpwstr>
  </property>
  <property fmtid="{D5CDD505-2E9C-101B-9397-08002B2CF9AE}" pid="3" name="MediaServiceImageTags">
    <vt:lpwstr/>
  </property>
</Properties>
</file>