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39648" windowHeight="13176" firstSheet="12" activeTab="12"/>
  </bookViews>
  <sheets>
    <sheet name="Master Excel with XelPlus" sheetId="1" r:id="rId1"/>
    <sheet name="Summary" sheetId="34" r:id="rId2"/>
    <sheet name="United Kingdom" sheetId="25" r:id="rId3"/>
    <sheet name="United States" sheetId="26" r:id="rId4"/>
    <sheet name="Canada" sheetId="27" r:id="rId5"/>
    <sheet name="Germany" sheetId="28" r:id="rId6"/>
    <sheet name="Austria" sheetId="29" r:id="rId7"/>
    <sheet name="France" sheetId="30" r:id="rId8"/>
    <sheet name="India" sheetId="31" r:id="rId9"/>
    <sheet name="China" sheetId="32" r:id="rId10"/>
    <sheet name="Australia" sheetId="33" r:id="rId11"/>
    <sheet name="Instructions for Reporting" sheetId="35" r:id="rId12"/>
    <sheet name="Cost Center Summary" sheetId="13" r:id="rId13"/>
    <sheet name="CC-1000" sheetId="14" r:id="rId14"/>
    <sheet name="CC-1100" sheetId="15" r:id="rId15"/>
    <sheet name="CC-2000" sheetId="16" r:id="rId16"/>
    <sheet name="CC-2100" sheetId="17" r:id="rId17"/>
    <sheet name="CC-3000" sheetId="18" r:id="rId18"/>
    <sheet name="CC-3100" sheetId="19" r:id="rId19"/>
    <sheet name="CC-3200" sheetId="20" r:id="rId20"/>
    <sheet name="CC-3300" sheetId="21" r:id="rId21"/>
    <sheet name="CC-4000" sheetId="22" r:id="rId22"/>
    <sheet name="CC-5000" sheetId="23" r:id="rId23"/>
  </sheets>
  <definedNames>
    <definedName name="UK">'United Kingdom'!$B$2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4" l="1"/>
  <c r="E15" i="34"/>
  <c r="E14" i="34"/>
  <c r="E13" i="34"/>
  <c r="E12" i="34"/>
  <c r="E11" i="34"/>
  <c r="E10" i="34"/>
  <c r="E9" i="34"/>
  <c r="E8" i="34"/>
  <c r="E7" i="34"/>
  <c r="C21" i="15"/>
  <c r="C21" i="16"/>
  <c r="D9" i="13" s="1"/>
  <c r="C21" i="17"/>
  <c r="D10" i="13" s="1"/>
  <c r="C21" i="18"/>
  <c r="C21" i="19"/>
  <c r="D12" i="13" s="1"/>
  <c r="C21" i="20"/>
  <c r="D13" i="13" s="1"/>
  <c r="C21" i="21"/>
  <c r="C21" i="22"/>
  <c r="C21" i="23"/>
  <c r="D16" i="13" s="1"/>
  <c r="C21" i="14"/>
  <c r="O7" i="25"/>
  <c r="D11" i="25" s="1"/>
  <c r="F15" i="34"/>
  <c r="F14" i="34"/>
  <c r="F13" i="34"/>
  <c r="F12" i="34"/>
  <c r="F11" i="34"/>
  <c r="F10" i="34"/>
  <c r="F9" i="34"/>
  <c r="F8" i="34"/>
  <c r="F7" i="34"/>
  <c r="S5" i="34" s="1"/>
  <c r="F16" i="33"/>
  <c r="E16" i="33"/>
  <c r="F15" i="33"/>
  <c r="E15" i="33"/>
  <c r="F14" i="33"/>
  <c r="E14" i="33"/>
  <c r="F13" i="33"/>
  <c r="E13" i="33"/>
  <c r="F12" i="33"/>
  <c r="E12" i="33"/>
  <c r="O7" i="33"/>
  <c r="D11" i="33" s="1"/>
  <c r="F16" i="32"/>
  <c r="E16" i="32"/>
  <c r="F15" i="32"/>
  <c r="E15" i="32"/>
  <c r="F14" i="32"/>
  <c r="E14" i="32"/>
  <c r="F13" i="32"/>
  <c r="E13" i="32"/>
  <c r="F12" i="32"/>
  <c r="E12" i="32"/>
  <c r="O7" i="32"/>
  <c r="D11" i="32" s="1"/>
  <c r="F16" i="31"/>
  <c r="E16" i="31"/>
  <c r="F15" i="31"/>
  <c r="E15" i="31"/>
  <c r="F14" i="31"/>
  <c r="E14" i="31"/>
  <c r="F13" i="31"/>
  <c r="E13" i="31"/>
  <c r="F12" i="31"/>
  <c r="E12" i="31"/>
  <c r="O7" i="31"/>
  <c r="D11" i="31" s="1"/>
  <c r="F16" i="30"/>
  <c r="E16" i="30"/>
  <c r="F15" i="30"/>
  <c r="E15" i="30"/>
  <c r="F14" i="30"/>
  <c r="E14" i="30"/>
  <c r="F13" i="30"/>
  <c r="E13" i="30"/>
  <c r="F12" i="30"/>
  <c r="E12" i="30"/>
  <c r="O7" i="30"/>
  <c r="D11" i="30" s="1"/>
  <c r="F16" i="29"/>
  <c r="E16" i="29"/>
  <c r="F15" i="29"/>
  <c r="E15" i="29"/>
  <c r="F14" i="29"/>
  <c r="E14" i="29"/>
  <c r="F13" i="29"/>
  <c r="E13" i="29"/>
  <c r="F12" i="29"/>
  <c r="E12" i="29"/>
  <c r="O7" i="29"/>
  <c r="D11" i="29" s="1"/>
  <c r="F16" i="28"/>
  <c r="E16" i="28"/>
  <c r="F15" i="28"/>
  <c r="E15" i="28"/>
  <c r="F14" i="28"/>
  <c r="E14" i="28"/>
  <c r="F13" i="28"/>
  <c r="E13" i="28"/>
  <c r="F12" i="28"/>
  <c r="E12" i="28"/>
  <c r="O7" i="28"/>
  <c r="D11" i="28" s="1"/>
  <c r="F16" i="27"/>
  <c r="E16" i="27"/>
  <c r="F15" i="27"/>
  <c r="E15" i="27"/>
  <c r="F14" i="27"/>
  <c r="E14" i="27"/>
  <c r="F13" i="27"/>
  <c r="E13" i="27"/>
  <c r="F12" i="27"/>
  <c r="E12" i="27"/>
  <c r="O7" i="27"/>
  <c r="D11" i="27" s="1"/>
  <c r="F16" i="26"/>
  <c r="E16" i="26"/>
  <c r="F15" i="26"/>
  <c r="E15" i="26"/>
  <c r="F14" i="26"/>
  <c r="E14" i="26"/>
  <c r="F13" i="26"/>
  <c r="E13" i="26"/>
  <c r="F12" i="26"/>
  <c r="E12" i="26"/>
  <c r="O7" i="26"/>
  <c r="D11" i="26" s="1"/>
  <c r="F16" i="25"/>
  <c r="E16" i="25"/>
  <c r="F15" i="25"/>
  <c r="E15" i="25"/>
  <c r="F14" i="25"/>
  <c r="E14" i="25"/>
  <c r="F13" i="25"/>
  <c r="E13" i="25"/>
  <c r="F12" i="25"/>
  <c r="E12" i="25"/>
  <c r="N12" i="23"/>
  <c r="M12" i="23"/>
  <c r="L12" i="23"/>
  <c r="K12" i="23"/>
  <c r="J12" i="23"/>
  <c r="I12" i="23"/>
  <c r="H12" i="23"/>
  <c r="G12" i="23"/>
  <c r="F12" i="23"/>
  <c r="E12" i="23"/>
  <c r="D12" i="23"/>
  <c r="C12" i="23"/>
  <c r="O11" i="23"/>
  <c r="D20" i="23" s="1"/>
  <c r="O10" i="23"/>
  <c r="D19" i="23" s="1"/>
  <c r="O9" i="23"/>
  <c r="D18" i="23" s="1"/>
  <c r="O8" i="23"/>
  <c r="D17" i="23" s="1"/>
  <c r="O7" i="23"/>
  <c r="N12" i="22"/>
  <c r="M12" i="22"/>
  <c r="L12" i="22"/>
  <c r="K12" i="22"/>
  <c r="J12" i="22"/>
  <c r="I12" i="22"/>
  <c r="H12" i="22"/>
  <c r="G12" i="22"/>
  <c r="F12" i="22"/>
  <c r="E12" i="22"/>
  <c r="D12" i="22"/>
  <c r="C12" i="22"/>
  <c r="O11" i="22"/>
  <c r="D20" i="22" s="1"/>
  <c r="O10" i="22"/>
  <c r="D19" i="22" s="1"/>
  <c r="O9" i="22"/>
  <c r="D18" i="22" s="1"/>
  <c r="O8" i="22"/>
  <c r="D17" i="22" s="1"/>
  <c r="O7" i="22"/>
  <c r="N12" i="21"/>
  <c r="M12" i="21"/>
  <c r="L12" i="21"/>
  <c r="K12" i="21"/>
  <c r="J12" i="21"/>
  <c r="I12" i="21"/>
  <c r="H12" i="21"/>
  <c r="G12" i="21"/>
  <c r="F12" i="21"/>
  <c r="E12" i="21"/>
  <c r="D12" i="21"/>
  <c r="C12" i="21"/>
  <c r="O11" i="21"/>
  <c r="D20" i="21" s="1"/>
  <c r="O10" i="21"/>
  <c r="D19" i="21" s="1"/>
  <c r="O9" i="21"/>
  <c r="D18" i="21" s="1"/>
  <c r="O8" i="21"/>
  <c r="D17" i="21" s="1"/>
  <c r="O7" i="21"/>
  <c r="D20" i="20"/>
  <c r="N12" i="20"/>
  <c r="M12" i="20"/>
  <c r="L12" i="20"/>
  <c r="K12" i="20"/>
  <c r="J12" i="20"/>
  <c r="I12" i="20"/>
  <c r="H12" i="20"/>
  <c r="G12" i="20"/>
  <c r="F12" i="20"/>
  <c r="E12" i="20"/>
  <c r="D12" i="20"/>
  <c r="C12" i="20"/>
  <c r="O11" i="20"/>
  <c r="O10" i="20"/>
  <c r="D19" i="20" s="1"/>
  <c r="O9" i="20"/>
  <c r="D18" i="20" s="1"/>
  <c r="O8" i="20"/>
  <c r="D17" i="20" s="1"/>
  <c r="O7" i="20"/>
  <c r="D18" i="19"/>
  <c r="N12" i="19"/>
  <c r="M12" i="19"/>
  <c r="L12" i="19"/>
  <c r="K12" i="19"/>
  <c r="J12" i="19"/>
  <c r="I12" i="19"/>
  <c r="H12" i="19"/>
  <c r="G12" i="19"/>
  <c r="F12" i="19"/>
  <c r="E12" i="19"/>
  <c r="D12" i="19"/>
  <c r="C12" i="19"/>
  <c r="O11" i="19"/>
  <c r="D20" i="19" s="1"/>
  <c r="O10" i="19"/>
  <c r="D19" i="19" s="1"/>
  <c r="O9" i="19"/>
  <c r="O8" i="19"/>
  <c r="D17" i="19" s="1"/>
  <c r="O7" i="19"/>
  <c r="N12" i="18"/>
  <c r="M12" i="18"/>
  <c r="L12" i="18"/>
  <c r="K12" i="18"/>
  <c r="J12" i="18"/>
  <c r="I12" i="18"/>
  <c r="H12" i="18"/>
  <c r="G12" i="18"/>
  <c r="F12" i="18"/>
  <c r="E12" i="18"/>
  <c r="D12" i="18"/>
  <c r="C12" i="18"/>
  <c r="O11" i="18"/>
  <c r="D20" i="18" s="1"/>
  <c r="O10" i="18"/>
  <c r="D19" i="18" s="1"/>
  <c r="O9" i="18"/>
  <c r="D18" i="18" s="1"/>
  <c r="O8" i="18"/>
  <c r="D17" i="18" s="1"/>
  <c r="O7" i="18"/>
  <c r="D20" i="17"/>
  <c r="D19" i="17"/>
  <c r="D18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O11" i="17"/>
  <c r="O10" i="17"/>
  <c r="O9" i="17"/>
  <c r="O8" i="17"/>
  <c r="D17" i="17" s="1"/>
  <c r="O7" i="17"/>
  <c r="N12" i="16"/>
  <c r="M12" i="16"/>
  <c r="L12" i="16"/>
  <c r="K12" i="16"/>
  <c r="J12" i="16"/>
  <c r="I12" i="16"/>
  <c r="H12" i="16"/>
  <c r="G12" i="16"/>
  <c r="F12" i="16"/>
  <c r="E12" i="16"/>
  <c r="D12" i="16"/>
  <c r="C12" i="16"/>
  <c r="O11" i="16"/>
  <c r="D20" i="16" s="1"/>
  <c r="O10" i="16"/>
  <c r="D19" i="16" s="1"/>
  <c r="O9" i="16"/>
  <c r="D18" i="16" s="1"/>
  <c r="O8" i="16"/>
  <c r="D17" i="16" s="1"/>
  <c r="O7" i="16"/>
  <c r="N12" i="15"/>
  <c r="M12" i="15"/>
  <c r="L12" i="15"/>
  <c r="K12" i="15"/>
  <c r="J12" i="15"/>
  <c r="I12" i="15"/>
  <c r="H12" i="15"/>
  <c r="G12" i="15"/>
  <c r="F12" i="15"/>
  <c r="E12" i="15"/>
  <c r="D12" i="15"/>
  <c r="C12" i="15"/>
  <c r="O11" i="15"/>
  <c r="D20" i="15" s="1"/>
  <c r="O10" i="15"/>
  <c r="D19" i="15" s="1"/>
  <c r="O9" i="15"/>
  <c r="D18" i="15" s="1"/>
  <c r="O8" i="15"/>
  <c r="D17" i="15" s="1"/>
  <c r="O7" i="15"/>
  <c r="N12" i="14"/>
  <c r="M12" i="14"/>
  <c r="L12" i="14"/>
  <c r="K12" i="14"/>
  <c r="J12" i="14"/>
  <c r="I12" i="14"/>
  <c r="H12" i="14"/>
  <c r="G12" i="14"/>
  <c r="F12" i="14"/>
  <c r="E12" i="14"/>
  <c r="D12" i="14"/>
  <c r="O11" i="14"/>
  <c r="D20" i="14" s="1"/>
  <c r="O10" i="14"/>
  <c r="D19" i="14" s="1"/>
  <c r="O9" i="14"/>
  <c r="D18" i="14" s="1"/>
  <c r="O8" i="14"/>
  <c r="D17" i="14" s="1"/>
  <c r="O7" i="14"/>
  <c r="D15" i="13"/>
  <c r="D14" i="13"/>
  <c r="D11" i="13"/>
  <c r="D8" i="13"/>
  <c r="D7" i="13"/>
  <c r="R5" i="34" l="1"/>
  <c r="F11" i="33"/>
  <c r="E11" i="33"/>
  <c r="E11" i="32"/>
  <c r="F11" i="32"/>
  <c r="F11" i="31"/>
  <c r="E11" i="31"/>
  <c r="F11" i="30"/>
  <c r="E11" i="30"/>
  <c r="E11" i="29"/>
  <c r="F11" i="29"/>
  <c r="E11" i="28"/>
  <c r="F11" i="28"/>
  <c r="E11" i="27"/>
  <c r="F11" i="27"/>
  <c r="E11" i="26"/>
  <c r="F11" i="26"/>
  <c r="E11" i="25"/>
  <c r="F11" i="25"/>
  <c r="E20" i="23"/>
  <c r="F20" i="23"/>
  <c r="E19" i="23"/>
  <c r="F19" i="23"/>
  <c r="F18" i="23"/>
  <c r="E18" i="23"/>
  <c r="F17" i="23"/>
  <c r="E17" i="23"/>
  <c r="D16" i="23"/>
  <c r="O12" i="23"/>
  <c r="F20" i="22"/>
  <c r="E20" i="22"/>
  <c r="E19" i="22"/>
  <c r="F19" i="22"/>
  <c r="E18" i="22"/>
  <c r="F18" i="22"/>
  <c r="E17" i="22"/>
  <c r="F17" i="22"/>
  <c r="O12" i="22"/>
  <c r="D16" i="22"/>
  <c r="E20" i="21"/>
  <c r="F20" i="21"/>
  <c r="E19" i="21"/>
  <c r="F19" i="21"/>
  <c r="E18" i="21"/>
  <c r="F18" i="21"/>
  <c r="F17" i="21"/>
  <c r="E17" i="21"/>
  <c r="D16" i="21"/>
  <c r="O12" i="21"/>
  <c r="F20" i="20"/>
  <c r="E20" i="20"/>
  <c r="E19" i="20"/>
  <c r="F19" i="20"/>
  <c r="E18" i="20"/>
  <c r="F18" i="20"/>
  <c r="E17" i="20"/>
  <c r="F17" i="20"/>
  <c r="D16" i="20"/>
  <c r="O12" i="20"/>
  <c r="E18" i="19"/>
  <c r="F18" i="19"/>
  <c r="E20" i="19"/>
  <c r="F20" i="19"/>
  <c r="E19" i="19"/>
  <c r="F19" i="19"/>
  <c r="F17" i="19"/>
  <c r="E17" i="19"/>
  <c r="O12" i="19"/>
  <c r="D16" i="19"/>
  <c r="E20" i="18"/>
  <c r="F20" i="18"/>
  <c r="E19" i="18"/>
  <c r="F19" i="18"/>
  <c r="E18" i="18"/>
  <c r="F18" i="18"/>
  <c r="E17" i="18"/>
  <c r="F17" i="18"/>
  <c r="D16" i="18"/>
  <c r="O12" i="18"/>
  <c r="F20" i="17"/>
  <c r="E20" i="17"/>
  <c r="E19" i="17"/>
  <c r="F19" i="17"/>
  <c r="F18" i="17"/>
  <c r="E18" i="17"/>
  <c r="E17" i="17"/>
  <c r="F17" i="17"/>
  <c r="O12" i="17"/>
  <c r="D16" i="17"/>
  <c r="E20" i="16"/>
  <c r="F20" i="16"/>
  <c r="E19" i="16"/>
  <c r="F19" i="16"/>
  <c r="E18" i="16"/>
  <c r="F18" i="16"/>
  <c r="E17" i="16"/>
  <c r="F17" i="16"/>
  <c r="D16" i="16"/>
  <c r="O12" i="16"/>
  <c r="E20" i="15"/>
  <c r="F20" i="15"/>
  <c r="E19" i="15"/>
  <c r="F19" i="15"/>
  <c r="E18" i="15"/>
  <c r="F18" i="15"/>
  <c r="E17" i="15"/>
  <c r="F17" i="15"/>
  <c r="D16" i="15"/>
  <c r="O12" i="15"/>
  <c r="F20" i="14"/>
  <c r="E20" i="14"/>
  <c r="E19" i="14"/>
  <c r="F19" i="14"/>
  <c r="F18" i="14"/>
  <c r="E18" i="14"/>
  <c r="E17" i="14"/>
  <c r="F17" i="14"/>
  <c r="D16" i="14"/>
  <c r="O12" i="14"/>
  <c r="D17" i="13"/>
  <c r="E16" i="23" l="1"/>
  <c r="D21" i="23"/>
  <c r="F16" i="23"/>
  <c r="E16" i="22"/>
  <c r="F16" i="22"/>
  <c r="D21" i="22"/>
  <c r="E16" i="21"/>
  <c r="D21" i="21"/>
  <c r="F16" i="21"/>
  <c r="E16" i="20"/>
  <c r="F16" i="20"/>
  <c r="D21" i="20"/>
  <c r="E16" i="19"/>
  <c r="F16" i="19"/>
  <c r="D21" i="19"/>
  <c r="E16" i="18"/>
  <c r="F16" i="18"/>
  <c r="D21" i="18"/>
  <c r="E16" i="17"/>
  <c r="F16" i="17"/>
  <c r="D21" i="17"/>
  <c r="E16" i="16"/>
  <c r="F16" i="16"/>
  <c r="D21" i="16"/>
  <c r="E16" i="15"/>
  <c r="F16" i="15"/>
  <c r="D21" i="15"/>
  <c r="D21" i="14"/>
  <c r="E16" i="14"/>
  <c r="F16" i="14"/>
  <c r="E21" i="23" l="1"/>
  <c r="F21" i="23"/>
  <c r="E16" i="13"/>
  <c r="F21" i="22"/>
  <c r="E21" i="22"/>
  <c r="E15" i="13"/>
  <c r="F21" i="21"/>
  <c r="E14" i="13"/>
  <c r="E21" i="21"/>
  <c r="F21" i="20"/>
  <c r="E13" i="13"/>
  <c r="E21" i="20"/>
  <c r="E21" i="19"/>
  <c r="F21" i="19"/>
  <c r="E12" i="13"/>
  <c r="F21" i="18"/>
  <c r="E21" i="18"/>
  <c r="E11" i="13"/>
  <c r="E21" i="17"/>
  <c r="F21" i="17"/>
  <c r="E10" i="13"/>
  <c r="E21" i="16"/>
  <c r="F21" i="16"/>
  <c r="E9" i="13"/>
  <c r="E21" i="15"/>
  <c r="F21" i="15"/>
  <c r="E8" i="13"/>
  <c r="E21" i="14"/>
  <c r="F21" i="14"/>
  <c r="E7" i="13"/>
  <c r="G16" i="13" l="1"/>
  <c r="F16" i="13"/>
  <c r="G15" i="13"/>
  <c r="F15" i="13"/>
  <c r="G14" i="13"/>
  <c r="F14" i="13"/>
  <c r="G13" i="13"/>
  <c r="F13" i="13"/>
  <c r="G12" i="13"/>
  <c r="F12" i="13"/>
  <c r="G11" i="13"/>
  <c r="F11" i="13"/>
  <c r="G10" i="13"/>
  <c r="F10" i="13"/>
  <c r="G9" i="13"/>
  <c r="F9" i="13"/>
  <c r="G8" i="13"/>
  <c r="F8" i="13"/>
  <c r="G7" i="13"/>
  <c r="F7" i="13"/>
  <c r="E17" i="13"/>
  <c r="G17" i="13" l="1"/>
  <c r="F17" i="13"/>
</calcChain>
</file>

<file path=xl/sharedStrings.xml><?xml version="1.0" encoding="utf-8"?>
<sst xmlns="http://schemas.openxmlformats.org/spreadsheetml/2006/main" count="1030" uniqueCount="237">
  <si>
    <t>Join 400,000+ professionals who've automated their reporting and become the go-to person on their team</t>
  </si>
  <si>
    <t>→ Turn a 3-day reporting job into a couple of hours
→ Build dashboards that make your boss's jaw drop
→ Clean messy data in minutes. Not hours of copy-paste frustration</t>
  </si>
  <si>
    <t>United Kingdom</t>
  </si>
  <si>
    <t>Canada</t>
  </si>
  <si>
    <t>Austria</t>
  </si>
  <si>
    <t>Australia</t>
  </si>
  <si>
    <t>Germany</t>
  </si>
  <si>
    <t>France</t>
  </si>
  <si>
    <t>India</t>
  </si>
  <si>
    <t>China</t>
  </si>
  <si>
    <t>USA</t>
  </si>
  <si>
    <t>Cost Center Overview</t>
  </si>
  <si>
    <t>Company-Wide Cost Center Summary</t>
  </si>
  <si>
    <t>ALL COST CENTERS</t>
  </si>
  <si>
    <t>Code</t>
  </si>
  <si>
    <t>Name</t>
  </si>
  <si>
    <t>Budget</t>
  </si>
  <si>
    <t>Actual</t>
  </si>
  <si>
    <t>Variance</t>
  </si>
  <si>
    <t>Var %</t>
  </si>
  <si>
    <t>Status</t>
  </si>
  <si>
    <t>CC-1000</t>
  </si>
  <si>
    <t>Manufacturing Operations</t>
  </si>
  <si>
    <t>CC-1100</t>
  </si>
  <si>
    <t>Quality Assurance</t>
  </si>
  <si>
    <t>CC-2000</t>
  </si>
  <si>
    <t>Sales</t>
  </si>
  <si>
    <t>CC-2100</t>
  </si>
  <si>
    <t>Marketing</t>
  </si>
  <si>
    <t>CC-3000</t>
  </si>
  <si>
    <t>Finance &amp; Accounting</t>
  </si>
  <si>
    <t>CC-3100</t>
  </si>
  <si>
    <t>Human Resources</t>
  </si>
  <si>
    <t>CC-3200</t>
  </si>
  <si>
    <t>IT &amp; Digital</t>
  </si>
  <si>
    <t>CC-3300</t>
  </si>
  <si>
    <t>Legal &amp; Compliance</t>
  </si>
  <si>
    <t>CC-4000</t>
  </si>
  <si>
    <t>General &amp; Administration</t>
  </si>
  <si>
    <t>CC-5000</t>
  </si>
  <si>
    <t>Facilities Management</t>
  </si>
  <si>
    <t>TOTAL</t>
  </si>
  <si>
    <t>Status Legend</t>
  </si>
  <si>
    <t>●</t>
  </si>
  <si>
    <t>Under/On Budget</t>
  </si>
  <si>
    <t>Over Budget (≤10%)</t>
  </si>
  <si>
    <t>Over Budget (&gt;10%)</t>
  </si>
  <si>
    <t>CC-1000 - Manufacturing Operations</t>
  </si>
  <si>
    <t>Cost Center Report</t>
  </si>
  <si>
    <t>MONTHLY SPEND BY CATEGORY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</si>
  <si>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</si>
  <si>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</si>
  <si>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</si>
  <si>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</si>
  <si>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</si>
  <si>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</si>
  <si>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</si>
  <si>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</si>
  <si>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</si>
  <si>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</si>
  <si>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</si>
  <si>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</si>
  <si>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 Total</t>
  </si>
  <si>
    <t>Raw Materials</t>
  </si>
  <si>
    <t>Equipment Maintenance</t>
  </si>
  <si>
    <t>Utilities</t>
  </si>
  <si>
    <t>Contract Labor</t>
  </si>
  <si>
    <t>Safety &amp; Compliance</t>
  </si>
  <si>
    <t>Total</t>
  </si>
  <si>
    <t>BUDGET VS ACTUAL</t>
  </si>
  <si>
    <t>Category</t>
  </si>
  <si>
    <t>COST CENTER INFORMATION</t>
  </si>
  <si>
    <t>Manager</t>
  </si>
  <si>
    <t>Hans Mueller</t>
  </si>
  <si>
    <t>Department</t>
  </si>
  <si>
    <t>Headcount</t>
  </si>
  <si>
    <t>Location</t>
  </si>
  <si>
    <t>Regional Office - EU</t>
  </si>
  <si>
    <t>CC-1100 - Quality Assurance</t>
  </si>
  <si>
    <t>Testing Equipment</t>
  </si>
  <si>
    <t>Lab Supplies</t>
  </si>
  <si>
    <t>Certifications</t>
  </si>
  <si>
    <t>Personnel Costs</t>
  </si>
  <si>
    <t>External Audits</t>
  </si>
  <si>
    <t>Yuki Tanaka</t>
  </si>
  <si>
    <t>Regional Office - APAC</t>
  </si>
  <si>
    <t>CC-2000 - Sales</t>
  </si>
  <si>
    <t>Commissions</t>
  </si>
  <si>
    <t>Travel &amp; Entertainment</t>
  </si>
  <si>
    <t>Client Events</t>
  </si>
  <si>
    <t>CRM Software</t>
  </si>
  <si>
    <t>Sales Training</t>
  </si>
  <si>
    <t>Michael Roberts</t>
  </si>
  <si>
    <t>HQ</t>
  </si>
  <si>
    <t>CC-2100 - Marketing</t>
  </si>
  <si>
    <t>Advertising</t>
  </si>
  <si>
    <t>Digital Campaigns</t>
  </si>
  <si>
    <t>Events &amp; Sponsorships</t>
  </si>
  <si>
    <t>Agency Fees</t>
  </si>
  <si>
    <t>Content Production</t>
  </si>
  <si>
    <t>Sofia Martinez</t>
  </si>
  <si>
    <t>CC-3000 - Finance &amp; Accounting</t>
  </si>
  <si>
    <t>Audit Fees</t>
  </si>
  <si>
    <t>Banking Fees</t>
  </si>
  <si>
    <t>Financial Software</t>
  </si>
  <si>
    <t>Consulting Services</t>
  </si>
  <si>
    <t>Charlotte Dubois</t>
  </si>
  <si>
    <t>Shared Services Center</t>
  </si>
  <si>
    <t>CC-3100 - Human Resources</t>
  </si>
  <si>
    <t>Recruitment</t>
  </si>
  <si>
    <t>Training &amp; Development</t>
  </si>
  <si>
    <t>Employee Benefits Admin</t>
  </si>
  <si>
    <t>HR Systems</t>
  </si>
  <si>
    <t>James O'Connor</t>
  </si>
  <si>
    <t>CC-3200 - IT &amp; Digital</t>
  </si>
  <si>
    <t>Cloud Services</t>
  </si>
  <si>
    <t>Software Licenses</t>
  </si>
  <si>
    <t>Hardware &amp; Equipment</t>
  </si>
  <si>
    <t>Cybersecurity</t>
  </si>
  <si>
    <t>IT Support Contracts</t>
  </si>
  <si>
    <t>Priya Sharma</t>
  </si>
  <si>
    <t>CC-3300 - Legal &amp; Compliance</t>
  </si>
  <si>
    <t>Outside Counsel</t>
  </si>
  <si>
    <t>Regulatory Filings</t>
  </si>
  <si>
    <t>Insurance Premiums</t>
  </si>
  <si>
    <t>Contract Management</t>
  </si>
  <si>
    <t>Compliance Training</t>
  </si>
  <si>
    <t>Thomas Anderson</t>
  </si>
  <si>
    <t>CC-4000 - General &amp; Administration</t>
  </si>
  <si>
    <t>Executive Compensation</t>
  </si>
  <si>
    <t>Board Expenses</t>
  </si>
  <si>
    <t>Corporate Insurance</t>
  </si>
  <si>
    <t>Professional Services</t>
  </si>
  <si>
    <t>Office Operations</t>
  </si>
  <si>
    <t>Elena Petrov</t>
  </si>
  <si>
    <t>CC-5000 - Facilities Management</t>
  </si>
  <si>
    <t>Rent &amp; Leases</t>
  </si>
  <si>
    <t>Maintenance &amp; Repairs</t>
  </si>
  <si>
    <t>Security Services</t>
  </si>
  <si>
    <t>Cleaning &amp; Janitorial</t>
  </si>
  <si>
    <t>Ahmed Hassan</t>
  </si>
  <si>
    <t>Global Subsidiaries Overview</t>
  </si>
  <si>
    <t>PERFORMANCE BY REGION</t>
  </si>
  <si>
    <t>Country</t>
  </si>
  <si>
    <t>Annual Revenue</t>
  </si>
  <si>
    <t>YoY Growth</t>
  </si>
  <si>
    <t>On Track (≥5% growth)</t>
  </si>
  <si>
    <t>Monitor (0-5% growth)</t>
  </si>
  <si>
    <t>Action Needed (&lt;0% growth)</t>
  </si>
  <si>
    <t>United Kingdom Subsidiary Dashboard</t>
  </si>
  <si>
    <t>Performance Tracker</t>
  </si>
  <si>
    <t>MONTHLY REVENUE</t>
  </si>
  <si>
    <t>Revenue</t>
  </si>
  <si>
    <t>KEY PERFORMANCE INDICATORS</t>
  </si>
  <si>
    <t>KPI</t>
  </si>
  <si>
    <t>Target</t>
  </si>
  <si>
    <t>Operating Margin</t>
  </si>
  <si>
    <t>Customer Satisfaction</t>
  </si>
  <si>
    <t>Employee Retention %</t>
  </si>
  <si>
    <t>New Customers</t>
  </si>
  <si>
    <t>Project Completion %</t>
  </si>
  <si>
    <t>SUBSIDIARY INFORMATION</t>
  </si>
  <si>
    <t>Active Projects</t>
  </si>
  <si>
    <t>Year Established</t>
  </si>
  <si>
    <t>Regional HQ</t>
  </si>
  <si>
    <t>No</t>
  </si>
  <si>
    <t>USA Subsidiary Dashboard</t>
  </si>
  <si>
    <t>Yes</t>
  </si>
  <si>
    <t>Canada Subsidiary Dashboard</t>
  </si>
  <si>
    <t>Germany Subsidiary Dashboard</t>
  </si>
  <si>
    <t>Austria Subsidiary Dashboard</t>
  </si>
  <si>
    <t>France Subsidiary Dashboard</t>
  </si>
  <si>
    <t>India Subsidiary Dashboard</t>
  </si>
  <si>
    <t>China Subsidiary Dashboard</t>
  </si>
  <si>
    <t>Australia Subsidiary Dashboard</t>
  </si>
  <si>
    <t>TOTAL Revenue</t>
  </si>
  <si>
    <t>Consolidated Performance Dashboard</t>
  </si>
  <si>
    <t>TOTAL Headcount</t>
  </si>
  <si>
    <t>Reporting Instructions</t>
  </si>
  <si>
    <t>Global Subsidiaries &amp; Cost Center Dashboard</t>
  </si>
  <si>
    <t>Overview</t>
  </si>
  <si>
    <t>File Structure</t>
  </si>
  <si>
    <t>Summary Sheets</t>
  </si>
  <si>
    <t>Regional Subsidiary Sheets</t>
  </si>
  <si>
    <t>Individual dashboards for each geographic region:</t>
  </si>
  <si>
    <t>Cost Center Sheets</t>
  </si>
  <si>
    <t>Detailed reports for each department:</t>
  </si>
  <si>
    <t>CC-1000: Manufacturing Operations</t>
  </si>
  <si>
    <t>CC-1100: Quality Assurance</t>
  </si>
  <si>
    <t>CC-2000: Sales</t>
  </si>
  <si>
    <t>CC-2100: Marketing</t>
  </si>
  <si>
    <t>CC-3000: Finance &amp; Accounting</t>
  </si>
  <si>
    <t>CC-3100: Human Resources</t>
  </si>
  <si>
    <t>CC-3200: IT &amp; Digital</t>
  </si>
  <si>
    <t>CC-3300: Legal &amp; Compliance</t>
  </si>
  <si>
    <t>CC-4000: General &amp; Administration</t>
  </si>
  <si>
    <t>CC-5000: Facilities Management</t>
  </si>
  <si>
    <t>Reporting Guidelines</t>
  </si>
  <si>
    <t>Update all subsidiary sheets with actual monthly revenue figures by the 5th business day of each month</t>
  </si>
  <si>
    <t>Verify monthly totals reconcile to YTD Total column</t>
  </si>
  <si>
    <t>Update KPI actuals in each regional dashboard</t>
  </si>
  <si>
    <t>Update monthly spend by category for each cost center by the 10th business day</t>
  </si>
  <si>
    <t>Ensure spend categories reconcile to total</t>
  </si>
  <si>
    <t>Before finalizing reports:</t>
  </si>
  <si>
    <t>Verify all YTD totals equal sum of monthly figures</t>
  </si>
  <si>
    <t>Confirm Summary sheet totals match sum of individual subsidiaries</t>
  </si>
  <si>
    <t>Ensure no cells contain #REF, #DIV/0, or other error values</t>
  </si>
  <si>
    <t>Key Metrics Definitions</t>
  </si>
  <si>
    <t>Contact Information</t>
  </si>
  <si>
    <t>For questions about reporting procedures, contact Finance Operations team. For technical issues with the file, contact IT Support.</t>
  </si>
  <si>
    <r>
      <t>Annual Revenue</t>
    </r>
    <r>
      <rPr>
        <sz val="11"/>
        <color theme="1"/>
        <rFont val="Aptos"/>
        <family val="2"/>
      </rPr>
      <t>: Total revenue generated for the full calendar year</t>
    </r>
  </si>
  <si>
    <r>
      <t>Operating Margin</t>
    </r>
    <r>
      <rPr>
        <sz val="11"/>
        <color theme="1"/>
        <rFont val="Aptos"/>
        <family val="2"/>
      </rPr>
      <t>: Operating income divided by total revenue, expressed as a percentage</t>
    </r>
  </si>
  <si>
    <r>
      <t>YoY Growth</t>
    </r>
    <r>
      <rPr>
        <sz val="11"/>
        <color theme="1"/>
        <rFont val="Aptos"/>
        <family val="2"/>
      </rPr>
      <t>: Year-over-year revenue growth rate comparing current year to prior year</t>
    </r>
  </si>
  <si>
    <r>
      <t>Customer Satisfaction</t>
    </r>
    <r>
      <rPr>
        <sz val="11"/>
        <color theme="1"/>
        <rFont val="Aptos"/>
        <family val="2"/>
      </rPr>
      <t>: Score based on customer survey responses (scale 0-100)</t>
    </r>
  </si>
  <si>
    <r>
      <t>Employee Retention %</t>
    </r>
    <r>
      <rPr>
        <sz val="11"/>
        <color theme="1"/>
        <rFont val="Aptos"/>
        <family val="2"/>
      </rPr>
      <t>: Percentage of employees retained over a 12-month period</t>
    </r>
  </si>
  <si>
    <r>
      <t>New Customers</t>
    </r>
    <r>
      <rPr>
        <sz val="11"/>
        <color theme="1"/>
        <rFont val="Aptos"/>
        <family val="2"/>
      </rPr>
      <t>: Number of new customer accounts acquired during the period</t>
    </r>
  </si>
  <si>
    <r>
      <t>Annual</t>
    </r>
    <r>
      <rPr>
        <sz val="11"/>
        <color theme="1"/>
        <rFont val="Aptos"/>
        <family val="2"/>
      </rPr>
      <t>: Complete year-end package with all sheets</t>
    </r>
  </si>
  <si>
    <r>
      <t>Summary</t>
    </r>
    <r>
      <rPr>
        <sz val="11"/>
        <color theme="1"/>
        <rFont val="Aptos"/>
        <family val="2"/>
      </rPr>
      <t>: Consolidated view of all subsidiary performance</t>
    </r>
  </si>
  <si>
    <r>
      <t>Cost Center Summary</t>
    </r>
    <r>
      <rPr>
        <sz val="11"/>
        <color theme="1"/>
        <rFont val="Aptos"/>
        <family val="2"/>
      </rPr>
      <t>: Company-wide cost center overview</t>
    </r>
  </si>
  <si>
    <t>This workbook contains consolidated performance data for all global subsidiaries and cost centers. The file is structured</t>
  </si>
  <si>
    <t>to provide both high-level summaries and detailed drill-downs for regional and departmental analysis.</t>
  </si>
  <si>
    <t>Monthly Close Process</t>
  </si>
  <si>
    <t>Cost Center Reporting</t>
  </si>
  <si>
    <t>Review variance percentages and status indicators</t>
  </si>
  <si>
    <t>Complete Budget vs Actual section with current actuals</t>
  </si>
  <si>
    <t>Data Validation</t>
  </si>
  <si>
    <t>United Kingdom, United States, Canada, Germany, Austria, France, India, China, Australia</t>
  </si>
  <si>
    <t>Distribution Schedule</t>
  </si>
  <si>
    <r>
      <t>Monthly</t>
    </r>
    <r>
      <rPr>
        <sz val="11"/>
        <color theme="1"/>
        <rFont val="Aptos"/>
        <family val="2"/>
      </rPr>
      <t>: Regional dashboards to subsidiary heads by 7th business day</t>
    </r>
  </si>
  <si>
    <r>
      <t>Monthly</t>
    </r>
    <r>
      <rPr>
        <sz val="11"/>
        <color theme="1"/>
        <rFont val="Aptos"/>
        <family val="2"/>
      </rPr>
      <t>: Cost center reports to department managers by 12th business day</t>
    </r>
  </si>
  <si>
    <r>
      <t>Quarterly</t>
    </r>
    <r>
      <rPr>
        <sz val="11"/>
        <color theme="1"/>
        <rFont val="Aptos"/>
        <family val="2"/>
      </rPr>
      <t>: Full consolidated package to executive team</t>
    </r>
  </si>
  <si>
    <r>
      <rPr>
        <b/>
        <sz val="11"/>
        <color theme="1"/>
        <rFont val="Aptos"/>
      </rPr>
      <t>1 method:</t>
    </r>
    <r>
      <rPr>
        <sz val="11"/>
        <color theme="1"/>
        <rFont val="Aptos"/>
        <family val="2"/>
      </rPr>
      <t xml:space="preserve"> Right Click on the arrows (bottom left) to check the spreadsheet you want to modify.</t>
    </r>
  </si>
  <si>
    <t>NOTE: Code For example CC-1000 -&gt; Right Click -&gt; Link -&gt; Place in This Document -&gt; CC-1000 (Spreadsheet) and match Cell -&gt; Enter. Repeat for the others.</t>
  </si>
  <si>
    <t>Summary</t>
  </si>
  <si>
    <t>NOTE: Type in Summary (text) -&gt; Right Click -&gt; Link/HyperLink-&gt; Place in This Document -&gt;Cost Center Summary (Spreadsheet) and match Cell -&gt; Enter. Repeat for the others.</t>
  </si>
  <si>
    <r>
      <rPr>
        <b/>
        <sz val="11"/>
        <color theme="1"/>
        <rFont val="Aptos"/>
      </rPr>
      <t xml:space="preserve">NOTE: </t>
    </r>
    <r>
      <rPr>
        <sz val="11"/>
        <color theme="1"/>
        <rFont val="Aptos"/>
        <family val="2"/>
      </rPr>
      <t>On Images, Eg.On UK image right click -&gt; HyperLink -&gt; Place in This Document -&gt; Select United Kingdom (Spreadsheet). Repeat this process for other countries.</t>
    </r>
  </si>
  <si>
    <t>Cost Center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</si>
</sst>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$#,##0"/>
    <numFmt numFmtId="165" formatCode="0.0%"/>
  </numFmts>
  <fonts count="37">
    <font>
      <sz val="9"/>
      <color theme="1"/>
      <name val="Aptos"/>
      <family val="2"/>
    </font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22"/>
      <color rgb="FF363636"/>
      <name val="Aptos"/>
      <family val="2"/>
    </font>
    <font>
      <b/>
      <sz val="14"/>
      <color theme="1"/>
      <name val="Aptos"/>
      <family val="2"/>
    </font>
    <font>
      <u/>
      <sz val="11"/>
      <color theme="10"/>
      <name val="Schriftart für Textkörper"/>
      <family val="2"/>
    </font>
    <font>
      <u/>
      <sz val="11"/>
      <color theme="10"/>
      <name val="Aptos"/>
      <family val="2"/>
    </font>
    <font>
      <u/>
      <sz val="11"/>
      <color theme="10"/>
      <name val="Calibri"/>
      <family val="2"/>
      <scheme val="minor"/>
    </font>
    <font>
      <b/>
      <sz val="14"/>
      <color rgb="FF363636"/>
      <name val="Aptos"/>
      <family val="2"/>
    </font>
    <font>
      <b/>
      <sz val="12"/>
      <color theme="6" tint="-0.499984740745262"/>
      <name val="Aptos"/>
      <family val="2"/>
    </font>
    <font>
      <sz val="11"/>
      <color theme="1"/>
      <name val="Calibri"/>
      <family val="2"/>
      <charset val="1"/>
    </font>
    <font>
      <b/>
      <sz val="16"/>
      <color theme="1"/>
      <name val="Aptos"/>
      <family val="2"/>
    </font>
    <font>
      <i/>
      <sz val="10"/>
      <color rgb="FF7F7F7F"/>
      <name val="Aptos"/>
      <family val="2"/>
    </font>
    <font>
      <b/>
      <sz val="10"/>
      <color rgb="FFFFFFFF"/>
      <name val="Aptos"/>
      <family val="2"/>
    </font>
    <font>
      <b/>
      <sz val="9"/>
      <color rgb="FF2F5496"/>
      <name val="Aptos"/>
      <family val="2"/>
    </font>
    <font>
      <sz val="9"/>
      <name val="Aptos"/>
      <family val="2"/>
    </font>
    <font>
      <sz val="12"/>
      <color theme="1" tint="0.499984740745262"/>
      <name val="Aptos"/>
      <family val="2"/>
    </font>
    <font>
      <b/>
      <sz val="9"/>
      <name val="Aptos"/>
      <family val="2"/>
    </font>
    <font>
      <b/>
      <sz val="11"/>
      <name val="Aptos"/>
      <family val="2"/>
    </font>
    <font>
      <sz val="12"/>
      <color rgb="FF375623"/>
      <name val="Aptos"/>
      <family val="2"/>
    </font>
    <font>
      <sz val="12"/>
      <color rgb="FF806000"/>
      <name val="Aptos"/>
      <family val="2"/>
    </font>
    <font>
      <sz val="12"/>
      <color rgb="FFC00000"/>
      <name val="Aptos"/>
      <family val="2"/>
    </font>
    <font>
      <sz val="12"/>
      <name val="Aptos"/>
      <family val="2"/>
    </font>
    <font>
      <b/>
      <sz val="9"/>
      <color theme="1"/>
      <name val="Aptos"/>
      <family val="2"/>
    </font>
    <font>
      <b/>
      <sz val="14"/>
      <color theme="9" tint="-0.499984740745262"/>
      <name val="Aptos"/>
      <family val="2"/>
    </font>
    <font>
      <sz val="11"/>
      <color theme="1" tint="0.14999847407452621"/>
      <name val="Aptos Black"/>
      <family val="2"/>
    </font>
    <font>
      <b/>
      <sz val="11"/>
      <color theme="1" tint="0.14999847407452621"/>
      <name val="Aptos Black"/>
      <family val="2"/>
    </font>
    <font>
      <b/>
      <sz val="16"/>
      <color theme="1" tint="0.14999847407452621"/>
      <name val="Aptos"/>
      <family val="2"/>
    </font>
    <font>
      <sz val="10"/>
      <name val="Aptos"/>
      <family val="2"/>
    </font>
    <font>
      <u/>
      <sz val="16"/>
      <color theme="10"/>
      <name val="Calibri"/>
      <family val="2"/>
      <scheme val="minor"/>
    </font>
    <font>
      <u/>
      <sz val="10"/>
      <color theme="10"/>
      <name val="Aptos"/>
      <family val="2"/>
    </font>
    <font>
      <sz val="12"/>
      <color theme="1"/>
      <name val="Aptos"/>
      <family val="2"/>
    </font>
    <font>
      <b/>
      <sz val="18"/>
      <color theme="1"/>
      <name val="Aptos"/>
      <family val="2"/>
    </font>
    <font>
      <b/>
      <sz val="11"/>
      <color theme="1"/>
      <name val="Aptos"/>
      <family val="2"/>
    </font>
    <font>
      <b/>
      <sz val="22"/>
      <color theme="1"/>
      <name val="Aptos"/>
      <family val="2"/>
    </font>
    <font>
      <b/>
      <sz val="11"/>
      <color theme="1"/>
      <name val="Aptos"/>
    </font>
    <font>
      <sz val="11"/>
      <color theme="1"/>
      <name val="Aptos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472C4"/>
        <bgColor rgb="FF666699"/>
      </patternFill>
    </fill>
    <fill>
      <patternFill patternType="solid">
        <fgColor rgb="FFD9E2F3"/>
        <bgColor rgb="FFD9D9D9"/>
      </patternFill>
    </fill>
    <fill>
      <patternFill patternType="solid">
        <fgColor rgb="FF7030A0"/>
        <bgColor rgb="FF666699"/>
      </patternFill>
    </fill>
    <fill>
      <patternFill patternType="solid">
        <fgColor rgb="FFE6D5F3"/>
        <bgColor rgb="FFD9D9D9"/>
      </patternFill>
    </fill>
    <fill>
      <patternFill patternType="solid">
        <fgColor theme="9" tint="-0.499984740745262"/>
        <bgColor rgb="FF666699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rgb="FFE6D5F3"/>
        <bgColor indexed="64"/>
      </patternFill>
    </fill>
    <fill>
      <patternFill patternType="solid">
        <fgColor theme="1" tint="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0" fillId="0" borderId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</cellStyleXfs>
  <cellXfs count="79">
    <xf numFmtId="0" fontId="0" fillId="0" borderId="0" xfId="0"/>
    <xf numFmtId="0" fontId="2" fillId="0" borderId="0" xfId="1" applyFont="1"/>
    <xf numFmtId="0" fontId="3" fillId="0" borderId="0" xfId="1" applyFont="1"/>
    <xf numFmtId="0" fontId="4" fillId="0" borderId="0" xfId="1" applyFont="1"/>
    <xf numFmtId="0" fontId="2" fillId="0" borderId="0" xfId="1" applyFont="1" applyAlignment="1">
      <alignment wrapText="1"/>
    </xf>
    <xf numFmtId="0" fontId="6" fillId="0" borderId="0" xfId="2" applyFont="1" applyFill="1" applyBorder="1"/>
    <xf numFmtId="0" fontId="6" fillId="0" borderId="0" xfId="3" applyFont="1" applyFill="1" applyBorder="1"/>
    <xf numFmtId="0" fontId="8" fillId="0" borderId="0" xfId="1" applyFont="1"/>
    <xf numFmtId="0" fontId="2" fillId="2" borderId="0" xfId="1" applyFont="1" applyFill="1"/>
    <xf numFmtId="0" fontId="1" fillId="0" borderId="0" xfId="1"/>
    <xf numFmtId="0" fontId="9" fillId="0" borderId="0" xfId="1" applyFont="1"/>
    <xf numFmtId="0" fontId="11" fillId="0" borderId="0" xfId="4" applyFont="1"/>
    <xf numFmtId="0" fontId="2" fillId="0" borderId="0" xfId="4" applyFont="1"/>
    <xf numFmtId="0" fontId="12" fillId="0" borderId="0" xfId="4" applyFont="1"/>
    <xf numFmtId="0" fontId="13" fillId="3" borderId="0" xfId="4" applyFont="1" applyFill="1"/>
    <xf numFmtId="0" fontId="2" fillId="3" borderId="0" xfId="4" applyFont="1" applyFill="1"/>
    <xf numFmtId="0" fontId="14" fillId="4" borderId="1" xfId="4" applyFont="1" applyFill="1" applyBorder="1" applyAlignment="1">
      <alignment horizontal="center"/>
    </xf>
    <xf numFmtId="0" fontId="15" fillId="0" borderId="1" xfId="4" applyFont="1" applyBorder="1"/>
    <xf numFmtId="164" fontId="2" fillId="0" borderId="1" xfId="4" applyNumberFormat="1" applyFont="1" applyBorder="1" applyAlignment="1">
      <alignment horizontal="right"/>
    </xf>
    <xf numFmtId="165" fontId="2" fillId="0" borderId="1" xfId="4" applyNumberFormat="1" applyFont="1" applyBorder="1" applyAlignment="1">
      <alignment horizontal="right"/>
    </xf>
    <xf numFmtId="0" fontId="16" fillId="0" borderId="1" xfId="4" applyFont="1" applyBorder="1" applyAlignment="1">
      <alignment horizontal="center"/>
    </xf>
    <xf numFmtId="0" fontId="17" fillId="4" borderId="1" xfId="4" applyFont="1" applyFill="1" applyBorder="1"/>
    <xf numFmtId="165" fontId="18" fillId="0" borderId="1" xfId="4" applyNumberFormat="1" applyFont="1" applyBorder="1" applyAlignment="1">
      <alignment horizontal="right"/>
    </xf>
    <xf numFmtId="0" fontId="14" fillId="0" borderId="0" xfId="4" applyFont="1"/>
    <xf numFmtId="0" fontId="19" fillId="0" borderId="0" xfId="4" applyFont="1"/>
    <xf numFmtId="0" fontId="15" fillId="0" borderId="0" xfId="4" applyFont="1"/>
    <xf numFmtId="0" fontId="20" fillId="0" borderId="0" xfId="4" applyFont="1"/>
    <xf numFmtId="0" fontId="21" fillId="0" borderId="0" xfId="4" applyFont="1"/>
    <xf numFmtId="0" fontId="15" fillId="0" borderId="1" xfId="4" applyFont="1" applyBorder="1" applyAlignment="1">
      <alignment horizontal="left"/>
    </xf>
    <xf numFmtId="164" fontId="17" fillId="0" borderId="1" xfId="4" applyNumberFormat="1" applyFont="1" applyBorder="1" applyAlignment="1">
      <alignment horizontal="right"/>
    </xf>
    <xf numFmtId="0" fontId="22" fillId="0" borderId="1" xfId="4" applyFont="1" applyBorder="1" applyAlignment="1">
      <alignment horizontal="center"/>
    </xf>
    <xf numFmtId="0" fontId="2" fillId="0" borderId="1" xfId="4" applyFont="1" applyBorder="1" applyAlignment="1">
      <alignment horizontal="left"/>
    </xf>
    <xf numFmtId="3" fontId="2" fillId="0" borderId="1" xfId="4" applyNumberFormat="1" applyFont="1" applyBorder="1" applyAlignment="1">
      <alignment horizontal="left"/>
    </xf>
    <xf numFmtId="3" fontId="2" fillId="0" borderId="1" xfId="4" applyNumberFormat="1" applyFont="1" applyBorder="1" applyAlignment="1">
      <alignment horizontal="right"/>
    </xf>
    <xf numFmtId="3" fontId="17" fillId="0" borderId="1" xfId="4" applyNumberFormat="1" applyFont="1" applyBorder="1" applyAlignment="1">
      <alignment horizontal="right"/>
    </xf>
    <xf numFmtId="0" fontId="17" fillId="4" borderId="1" xfId="4" applyFont="1" applyFill="1" applyBorder="1" applyAlignment="1">
      <alignment horizontal="left"/>
    </xf>
    <xf numFmtId="1" fontId="2" fillId="0" borderId="1" xfId="4" applyNumberFormat="1" applyFont="1" applyBorder="1" applyAlignment="1">
      <alignment horizontal="right"/>
    </xf>
    <xf numFmtId="0" fontId="2" fillId="0" borderId="1" xfId="4" applyFont="1" applyBorder="1" applyAlignment="1">
      <alignment horizontal="right"/>
    </xf>
    <xf numFmtId="0" fontId="13" fillId="5" borderId="0" xfId="4" applyFont="1" applyFill="1"/>
    <xf numFmtId="0" fontId="2" fillId="5" borderId="0" xfId="4" applyFont="1" applyFill="1"/>
    <xf numFmtId="0" fontId="23" fillId="6" borderId="1" xfId="4" applyFont="1" applyFill="1" applyBorder="1" applyAlignment="1">
      <alignment horizontal="center"/>
    </xf>
    <xf numFmtId="0" fontId="2" fillId="6" borderId="1" xfId="4" applyFont="1" applyFill="1" applyBorder="1"/>
    <xf numFmtId="0" fontId="23" fillId="6" borderId="1" xfId="4" applyFont="1" applyFill="1" applyBorder="1"/>
    <xf numFmtId="0" fontId="24" fillId="0" borderId="0" xfId="4" applyFont="1"/>
    <xf numFmtId="0" fontId="13" fillId="7" borderId="0" xfId="4" applyFont="1" applyFill="1"/>
    <xf numFmtId="0" fontId="2" fillId="7" borderId="0" xfId="4" applyFont="1" applyFill="1"/>
    <xf numFmtId="0" fontId="23" fillId="0" borderId="0" xfId="4" applyFont="1"/>
    <xf numFmtId="0" fontId="25" fillId="0" borderId="0" xfId="4" applyFont="1"/>
    <xf numFmtId="0" fontId="23" fillId="8" borderId="1" xfId="4" applyFont="1" applyFill="1" applyBorder="1" applyAlignment="1">
      <alignment horizontal="center" vertical="center"/>
    </xf>
    <xf numFmtId="0" fontId="26" fillId="0" borderId="0" xfId="4" applyFont="1" applyAlignment="1">
      <alignment vertical="center"/>
    </xf>
    <xf numFmtId="0" fontId="27" fillId="0" borderId="0" xfId="4" applyFont="1"/>
    <xf numFmtId="0" fontId="23" fillId="0" borderId="1" xfId="4" applyFont="1" applyBorder="1"/>
    <xf numFmtId="0" fontId="28" fillId="0" borderId="1" xfId="4" applyFont="1" applyBorder="1" applyAlignment="1">
      <alignment vertical="center"/>
    </xf>
    <xf numFmtId="164" fontId="2" fillId="0" borderId="1" xfId="4" applyNumberFormat="1" applyFont="1" applyBorder="1" applyAlignment="1">
      <alignment horizontal="right" vertical="center"/>
    </xf>
    <xf numFmtId="3" fontId="2" fillId="0" borderId="1" xfId="4" applyNumberFormat="1" applyFont="1" applyBorder="1" applyAlignment="1">
      <alignment horizontal="right" vertical="center"/>
    </xf>
    <xf numFmtId="165" fontId="2" fillId="0" borderId="1" xfId="4" applyNumberFormat="1" applyFont="1" applyBorder="1" applyAlignment="1">
      <alignment horizontal="right" vertical="center"/>
    </xf>
    <xf numFmtId="0" fontId="16" fillId="0" borderId="1" xfId="4" applyFont="1" applyBorder="1" applyAlignment="1">
      <alignment horizontal="center" vertical="center"/>
    </xf>
    <xf numFmtId="0" fontId="2" fillId="2" borderId="0" xfId="4" applyFont="1" applyFill="1"/>
    <xf numFmtId="164" fontId="18" fillId="9" borderId="1" xfId="4" applyNumberFormat="1" applyFont="1" applyFill="1" applyBorder="1" applyAlignment="1">
      <alignment horizontal="right"/>
    </xf>
    <xf numFmtId="0" fontId="30" fillId="0" borderId="1" xfId="6" applyBorder="1"/>
    <xf numFmtId="0" fontId="30" fillId="0" borderId="0" xfId="6" applyFill="1"/>
    <xf numFmtId="0" fontId="30" fillId="0" borderId="0" xfId="6"/>
    <xf numFmtId="0" fontId="2" fillId="10" borderId="0" xfId="4" applyFont="1" applyFill="1"/>
    <xf numFmtId="0" fontId="31" fillId="0" borderId="0" xfId="1" applyFont="1" applyAlignment="1">
      <alignment wrapText="1"/>
    </xf>
    <xf numFmtId="164" fontId="18" fillId="0" borderId="1" xfId="4" applyNumberFormat="1" applyFont="1" applyBorder="1" applyAlignment="1">
      <alignment horizontal="right"/>
    </xf>
    <xf numFmtId="164" fontId="18" fillId="4" borderId="1" xfId="4" applyNumberFormat="1" applyFont="1" applyFill="1" applyBorder="1" applyAlignment="1">
      <alignment horizontal="right"/>
    </xf>
    <xf numFmtId="0" fontId="3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1" fillId="0" borderId="0" xfId="0" applyFont="1" applyAlignment="1">
      <alignment vertical="center"/>
    </xf>
    <xf numFmtId="0" fontId="2" fillId="0" borderId="0" xfId="0" applyFont="1"/>
    <xf numFmtId="0" fontId="33" fillId="0" borderId="0" xfId="0" applyFont="1"/>
    <xf numFmtId="0" fontId="2" fillId="0" borderId="0" xfId="0" applyFont="1" applyAlignment="1">
      <alignment horizontal="left" vertical="center" indent="1"/>
    </xf>
    <xf numFmtId="0" fontId="33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2"/>
    </xf>
    <xf numFmtId="0" fontId="4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36" fillId="0" borderId="2" xfId="1" applyFont="1" applyBorder="1" applyAlignment="1">
      <alignment wrapText="1"/>
    </xf>
    <xf numFmtId="0" fontId="2" fillId="0" borderId="2" xfId="4" applyFont="1" applyBorder="1" applyAlignment="1">
      <alignment wrapText="1"/>
    </xf>
    <xf numFmtId="0" fontId="36" fillId="0" borderId="2" xfId="4" applyFont="1" applyBorder="1" applyAlignment="1">
      <alignment wrapText="1"/>
    </xf>
  </cellXfs>
  <cellStyles count="7">
    <cellStyle name="Heading 4" xfId="5" builtinId="19" customBuiltin="1"/>
    <cellStyle name="Hyperlink" xfId="6" builtinId="8" customBuiltin="1"/>
    <cellStyle name="Hyperlink 2" xfId="3"/>
    <cellStyle name="Hyperlink 3" xfId="2"/>
    <cellStyle name="Normal" xfId="0" builtinId="0" customBuiltin="1"/>
    <cellStyle name="Normal 2" xfId="1"/>
    <cellStyle name="Normal 3" xfId="4"/>
  </cellStyles>
  <dxfs count="123">
    <dxf>
      <font>
        <sz val="12"/>
        <color rgb="FF375623"/>
      </font>
      <fill>
        <patternFill>
          <bgColor rgb="FFE2EFDA"/>
        </patternFill>
      </fill>
    </dxf>
    <dxf>
      <font>
        <sz val="12"/>
        <color rgb="FF806000"/>
      </font>
      <fill>
        <patternFill>
          <bgColor rgb="FFFFF2CC"/>
        </patternFill>
      </fill>
    </dxf>
    <dxf>
      <font>
        <sz val="12"/>
        <color rgb="FFC00000"/>
      </font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ont>
        <sz val="12"/>
        <color rgb="FF375623"/>
      </font>
      <fill>
        <patternFill>
          <bgColor rgb="FFE2EFDA"/>
        </patternFill>
      </fill>
    </dxf>
    <dxf>
      <font>
        <sz val="12"/>
        <color rgb="FF806000"/>
      </font>
      <fill>
        <patternFill>
          <bgColor rgb="FFFFF2CC"/>
        </patternFill>
      </fill>
    </dxf>
    <dxf>
      <font>
        <sz val="12"/>
        <color rgb="FFC00000"/>
      </font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ont>
        <sz val="12"/>
        <color rgb="FF375623"/>
      </font>
      <fill>
        <patternFill>
          <bgColor rgb="FFE2EFDA"/>
        </patternFill>
      </fill>
    </dxf>
    <dxf>
      <font>
        <sz val="12"/>
        <color rgb="FF806000"/>
      </font>
      <fill>
        <patternFill>
          <bgColor rgb="FFFFF2CC"/>
        </patternFill>
      </fill>
    </dxf>
    <dxf>
      <font>
        <sz val="12"/>
        <color rgb="FFC00000"/>
      </font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ont>
        <sz val="12"/>
        <color rgb="FF375623"/>
      </font>
      <fill>
        <patternFill>
          <bgColor rgb="FFE2EFDA"/>
        </patternFill>
      </fill>
    </dxf>
    <dxf>
      <font>
        <sz val="12"/>
        <color rgb="FF806000"/>
      </font>
      <fill>
        <patternFill>
          <bgColor rgb="FFFFF2CC"/>
        </patternFill>
      </fill>
    </dxf>
    <dxf>
      <font>
        <sz val="12"/>
        <color rgb="FFC00000"/>
      </font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ont>
        <sz val="12"/>
        <color rgb="FF375623"/>
      </font>
      <fill>
        <patternFill>
          <bgColor rgb="FFE2EFDA"/>
        </patternFill>
      </fill>
    </dxf>
    <dxf>
      <font>
        <sz val="12"/>
        <color rgb="FF806000"/>
      </font>
      <fill>
        <patternFill>
          <bgColor rgb="FFFFF2CC"/>
        </patternFill>
      </fill>
    </dxf>
    <dxf>
      <font>
        <sz val="12"/>
        <color rgb="FFC00000"/>
      </font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ont>
        <sz val="12"/>
        <color rgb="FF375623"/>
      </font>
      <fill>
        <patternFill>
          <bgColor rgb="FFE2EFDA"/>
        </patternFill>
      </fill>
    </dxf>
    <dxf>
      <font>
        <sz val="12"/>
        <color rgb="FF806000"/>
      </font>
      <fill>
        <patternFill>
          <bgColor rgb="FFFFF2CC"/>
        </patternFill>
      </fill>
    </dxf>
    <dxf>
      <font>
        <sz val="12"/>
        <color rgb="FFC00000"/>
      </font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ont>
        <sz val="12"/>
        <color rgb="FF375623"/>
      </font>
      <fill>
        <patternFill>
          <bgColor rgb="FFE2EFDA"/>
        </patternFill>
      </fill>
    </dxf>
    <dxf>
      <font>
        <sz val="12"/>
        <color rgb="FF806000"/>
      </font>
      <fill>
        <patternFill>
          <bgColor rgb="FFFFF2CC"/>
        </patternFill>
      </fill>
    </dxf>
    <dxf>
      <font>
        <sz val="12"/>
        <color rgb="FFC00000"/>
      </font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ont>
        <sz val="12"/>
        <color rgb="FF375623"/>
      </font>
      <fill>
        <patternFill>
          <bgColor rgb="FFE2EFDA"/>
        </patternFill>
      </fill>
    </dxf>
    <dxf>
      <font>
        <sz val="12"/>
        <color rgb="FF806000"/>
      </font>
      <fill>
        <patternFill>
          <bgColor rgb="FFFFF2CC"/>
        </patternFill>
      </fill>
    </dxf>
    <dxf>
      <font>
        <sz val="12"/>
        <color rgb="FFC00000"/>
      </font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ont>
        <sz val="12"/>
        <color rgb="FF375623"/>
      </font>
      <fill>
        <patternFill>
          <bgColor rgb="FFE2EFDA"/>
        </patternFill>
      </fill>
    </dxf>
    <dxf>
      <font>
        <sz val="12"/>
        <color rgb="FF806000"/>
      </font>
      <fill>
        <patternFill>
          <bgColor rgb="FFFFF2CC"/>
        </patternFill>
      </fill>
    </dxf>
    <dxf>
      <font>
        <sz val="12"/>
        <color rgb="FFC00000"/>
      </font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ont>
        <sz val="12"/>
        <color rgb="FF375623"/>
      </font>
      <fill>
        <patternFill>
          <bgColor rgb="FFE2EFDA"/>
        </patternFill>
      </fill>
    </dxf>
    <dxf>
      <font>
        <sz val="12"/>
        <color rgb="FF806000"/>
      </font>
      <fill>
        <patternFill>
          <bgColor rgb="FFFFF2CC"/>
        </patternFill>
      </fill>
    </dxf>
    <dxf>
      <font>
        <sz val="12"/>
        <color rgb="FFC00000"/>
      </font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ont>
        <sz val="12"/>
        <color rgb="FF375623"/>
      </font>
      <fill>
        <patternFill>
          <bgColor rgb="FFE2EFDA"/>
        </patternFill>
      </fill>
    </dxf>
    <dxf>
      <font>
        <sz val="12"/>
        <color rgb="FF806000"/>
      </font>
      <fill>
        <patternFill>
          <bgColor rgb="FFFFF2CC"/>
        </patternFill>
      </fill>
    </dxf>
    <dxf>
      <font>
        <sz val="12"/>
        <color rgb="FFC00000"/>
      </font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ont>
        <sz val="12"/>
        <color rgb="FF375623"/>
      </font>
      <fill>
        <patternFill>
          <bgColor rgb="FFE2EFDA"/>
        </patternFill>
      </fill>
    </dxf>
    <dxf>
      <font>
        <sz val="12"/>
        <color rgb="FF806000"/>
      </font>
      <fill>
        <patternFill>
          <bgColor rgb="FFFFF2CC"/>
        </patternFill>
      </fill>
    </dxf>
    <dxf>
      <font>
        <sz val="12"/>
        <color rgb="FFC00000"/>
      </font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ont>
        <sz val="12"/>
        <color rgb="FF375623"/>
      </font>
      <fill>
        <patternFill>
          <bgColor rgb="FFE2EFDA"/>
        </patternFill>
      </fill>
    </dxf>
    <dxf>
      <font>
        <sz val="12"/>
        <color rgb="FF806000"/>
      </font>
      <fill>
        <patternFill>
          <bgColor rgb="FFFFF2CC"/>
        </patternFill>
      </fill>
    </dxf>
    <dxf>
      <font>
        <sz val="12"/>
        <color rgb="FFC00000"/>
      </font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ont>
        <sz val="12"/>
        <color rgb="FF375623"/>
      </font>
      <fill>
        <patternFill>
          <bgColor rgb="FFE2EFDA"/>
        </patternFill>
      </fill>
    </dxf>
    <dxf>
      <font>
        <sz val="12"/>
        <color rgb="FF806000"/>
      </font>
      <fill>
        <patternFill>
          <bgColor rgb="FFFFF2CC"/>
        </patternFill>
      </fill>
    </dxf>
    <dxf>
      <font>
        <sz val="12"/>
        <color rgb="FFC00000"/>
      </font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ont>
        <sz val="12"/>
        <color rgb="FF375623"/>
      </font>
      <fill>
        <patternFill>
          <bgColor rgb="FFE2EFDA"/>
        </patternFill>
      </fill>
    </dxf>
    <dxf>
      <font>
        <sz val="12"/>
        <color rgb="FF806000"/>
      </font>
      <fill>
        <patternFill>
          <bgColor rgb="FFFFF2CC"/>
        </patternFill>
      </fill>
    </dxf>
    <dxf>
      <font>
        <sz val="12"/>
        <color rgb="FFC00000"/>
      </font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ont>
        <sz val="12"/>
        <color rgb="FF375623"/>
      </font>
      <fill>
        <patternFill>
          <bgColor rgb="FFE2EFDA"/>
        </patternFill>
      </fill>
    </dxf>
    <dxf>
      <font>
        <sz val="12"/>
        <color rgb="FF806000"/>
      </font>
      <fill>
        <patternFill>
          <bgColor rgb="FFFFF2CC"/>
        </patternFill>
      </fill>
    </dxf>
    <dxf>
      <font>
        <sz val="12"/>
        <color rgb="FFC00000"/>
      </font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ont>
        <sz val="12"/>
        <color rgb="FF375623"/>
      </font>
      <fill>
        <patternFill>
          <bgColor rgb="FFE2EFDA"/>
        </patternFill>
      </fill>
    </dxf>
    <dxf>
      <font>
        <sz val="12"/>
        <color rgb="FF806000"/>
      </font>
      <fill>
        <patternFill>
          <bgColor rgb="FFFFF2CC"/>
        </patternFill>
      </fill>
    </dxf>
    <dxf>
      <font>
        <sz val="12"/>
        <color rgb="FFC00000"/>
      </font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ont>
        <sz val="12"/>
        <color rgb="FF375623"/>
      </font>
      <fill>
        <patternFill>
          <bgColor rgb="FFE2EFDA"/>
        </patternFill>
      </fill>
    </dxf>
    <dxf>
      <font>
        <sz val="12"/>
        <color rgb="FF806000"/>
      </font>
      <fill>
        <patternFill>
          <bgColor rgb="FFFFF2CC"/>
        </patternFill>
      </fill>
    </dxf>
    <dxf>
      <font>
        <sz val="12"/>
        <color rgb="FFC00000"/>
      </font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ont>
        <sz val="12"/>
        <color rgb="FF375623"/>
      </font>
      <fill>
        <patternFill>
          <bgColor rgb="FFE2EFDA"/>
        </patternFill>
      </fill>
    </dxf>
    <dxf>
      <font>
        <sz val="12"/>
        <color rgb="FF806000"/>
      </font>
      <fill>
        <patternFill>
          <bgColor rgb="FFFFF2CC"/>
        </patternFill>
      </fill>
    </dxf>
    <dxf>
      <font>
        <sz val="12"/>
        <color rgb="FFC00000"/>
      </font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ont>
        <sz val="12"/>
        <color rgb="FF375623"/>
      </font>
      <fill>
        <patternFill>
          <bgColor rgb="FFE2EFDA"/>
        </patternFill>
      </fill>
    </dxf>
    <dxf>
      <font>
        <sz val="12"/>
        <color rgb="FF806000"/>
      </font>
      <fill>
        <patternFill>
          <bgColor rgb="FFFFF2CC"/>
        </patternFill>
      </fill>
    </dxf>
    <dxf>
      <font>
        <sz val="12"/>
        <color rgb="FFC00000"/>
      </font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2" tint="-0.499984740745262"/>
      </font>
      <fill>
        <patternFill>
          <bgColor theme="2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E6D5F3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xelplus.com/courses/" TargetMode="External"/><Relationship Id="rId3" Type="http://schemas.openxmlformats.org/officeDocument/2006/relationships/image" Target="../media/image2.png"/><Relationship Id="rId7" Type="http://schemas.openxmlformats.org/officeDocument/2006/relationships/image" Target="../media/image5.svg"/><Relationship Id="rId2" Type="http://schemas.openxmlformats.org/officeDocument/2006/relationships/image" Target="../media/image1.png"/><Relationship Id="rId1" Type="http://schemas.openxmlformats.org/officeDocument/2006/relationships/hyperlink" Target="https://www.xelplus.com/courses" TargetMode="External"/><Relationship Id="rId6" Type="http://schemas.openxmlformats.org/officeDocument/2006/relationships/image" Target="../media/image4.png"/><Relationship Id="rId5" Type="http://schemas.openxmlformats.org/officeDocument/2006/relationships/hyperlink" Target="https://www.xelplus.com/" TargetMode="External"/><Relationship Id="rId10" Type="http://schemas.openxmlformats.org/officeDocument/2006/relationships/image" Target="../media/image7.svg"/><Relationship Id="rId4" Type="http://schemas.openxmlformats.org/officeDocument/2006/relationships/image" Target="../media/image3.png"/><Relationship Id="rId9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jpg"/><Relationship Id="rId13" Type="http://schemas.openxmlformats.org/officeDocument/2006/relationships/hyperlink" Target="#India!A1"/><Relationship Id="rId18" Type="http://schemas.openxmlformats.org/officeDocument/2006/relationships/image" Target="../media/image14.jpg"/><Relationship Id="rId3" Type="http://schemas.openxmlformats.org/officeDocument/2006/relationships/hyperlink" Target="#'United States'!A1"/><Relationship Id="rId7" Type="http://schemas.openxmlformats.org/officeDocument/2006/relationships/hyperlink" Target="#Germany!A1"/><Relationship Id="rId12" Type="http://schemas.openxmlformats.org/officeDocument/2006/relationships/image" Target="../media/image11.jpg"/><Relationship Id="rId17" Type="http://schemas.openxmlformats.org/officeDocument/2006/relationships/hyperlink" Target="#Australia!A1"/><Relationship Id="rId2" Type="http://schemas.openxmlformats.org/officeDocument/2006/relationships/image" Target="../media/image6.jpg"/><Relationship Id="rId16" Type="http://schemas.openxmlformats.org/officeDocument/2006/relationships/image" Target="../media/image13.jpg"/><Relationship Id="rId1" Type="http://schemas.openxmlformats.org/officeDocument/2006/relationships/hyperlink" Target="#'United Kingdom'!A1"/><Relationship Id="rId6" Type="http://schemas.openxmlformats.org/officeDocument/2006/relationships/image" Target="../media/image8.jpg"/><Relationship Id="rId11" Type="http://schemas.openxmlformats.org/officeDocument/2006/relationships/hyperlink" Target="#France!A1"/><Relationship Id="rId5" Type="http://schemas.openxmlformats.org/officeDocument/2006/relationships/hyperlink" Target="#Canada!A1"/><Relationship Id="rId15" Type="http://schemas.openxmlformats.org/officeDocument/2006/relationships/hyperlink" Target="#China!A1"/><Relationship Id="rId10" Type="http://schemas.openxmlformats.org/officeDocument/2006/relationships/image" Target="../media/image10.jpg"/><Relationship Id="rId4" Type="http://schemas.openxmlformats.org/officeDocument/2006/relationships/image" Target="../media/image7.jpg"/><Relationship Id="rId9" Type="http://schemas.openxmlformats.org/officeDocument/2006/relationships/hyperlink" Target="#Austria!A1"/><Relationship Id="rId14" Type="http://schemas.openxmlformats.org/officeDocument/2006/relationships/image" Target="../media/image1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0</xdr:row>
      <xdr:rowOff>9525</xdr:rowOff>
    </xdr:from>
    <xdr:ext cx="8867422" cy="53065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8EE8DCA5-DEE8-4560-851B-DFC8922453A1}"/>
            </a:ext>
          </a:extLst>
        </xdr:cNvPr>
        <xdr:cNvSpPr txBox="1"/>
      </xdr:nvSpPr>
      <xdr:spPr>
        <a:xfrm>
          <a:off x="213078" y="9525"/>
          <a:ext cx="8867422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x-none" sz="2800" b="1" baseline="0">
              <a:solidFill>
                <a:srgbClr val="363636"/>
              </a:solidFill>
              <a:latin typeface="Aptos" panose="020B0004020202020204" pitchFamily="34" charset="0"/>
              <a:ea typeface="Roboto Black" panose="02000000000000000000" pitchFamily="2" charset="0"/>
              <a:cs typeface="Roboto Black" panose="02000000000000000000" pitchFamily="2" charset="0"/>
            </a:rPr>
            <a:t>Stop Wasting Hours on Work </a:t>
          </a:r>
          <a:r>
            <a:rPr lang="x-none" sz="2800" b="1" baseline="0">
              <a:solidFill>
                <a:schemeClr val="accent6">
                  <a:lumMod val="50000"/>
                </a:schemeClr>
              </a:solidFill>
              <a:latin typeface="Aptos" panose="020B0004020202020204" pitchFamily="34" charset="0"/>
              <a:ea typeface="Roboto Black" panose="02000000000000000000" pitchFamily="2" charset="0"/>
              <a:cs typeface="Roboto Black" panose="02000000000000000000" pitchFamily="2" charset="0"/>
            </a:rPr>
            <a:t>Excel</a:t>
          </a:r>
          <a:r>
            <a:rPr lang="x-none" sz="2800" b="1" baseline="0">
              <a:solidFill>
                <a:srgbClr val="363636"/>
              </a:solidFill>
              <a:latin typeface="Aptos" panose="020B0004020202020204" pitchFamily="34" charset="0"/>
              <a:ea typeface="Roboto Black" panose="02000000000000000000" pitchFamily="2" charset="0"/>
              <a:cs typeface="Roboto Black" panose="02000000000000000000" pitchFamily="2" charset="0"/>
            </a:rPr>
            <a:t> Can Do for You</a:t>
          </a:r>
          <a:endParaRPr lang="en-GB" sz="2800" b="1">
            <a:solidFill>
              <a:srgbClr val="EC4C4C"/>
            </a:solidFill>
            <a:latin typeface="Aptos" panose="020B0004020202020204" pitchFamily="34" charset="0"/>
            <a:ea typeface="Roboto Black" panose="02000000000000000000" pitchFamily="2" charset="0"/>
            <a:cs typeface="Roboto Black" panose="02000000000000000000" pitchFamily="2" charset="0"/>
          </a:endParaRPr>
        </a:p>
      </xdr:txBody>
    </xdr:sp>
    <xdr:clientData/>
  </xdr:oneCellAnchor>
  <xdr:twoCellAnchor>
    <xdr:from>
      <xdr:col>5</xdr:col>
      <xdr:colOff>213361</xdr:colOff>
      <xdr:row>10</xdr:row>
      <xdr:rowOff>246945</xdr:rowOff>
    </xdr:from>
    <xdr:to>
      <xdr:col>12</xdr:col>
      <xdr:colOff>35278</xdr:colOff>
      <xdr:row>21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1D93E0F-C56A-4CBD-BE6A-689A29929A53}"/>
            </a:ext>
          </a:extLst>
        </xdr:cNvPr>
        <xdr:cNvSpPr/>
      </xdr:nvSpPr>
      <xdr:spPr>
        <a:xfrm>
          <a:off x="7579361" y="3160889"/>
          <a:ext cx="3300306" cy="2384778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1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endParaRPr lang="x-none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This course has enabled me to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finish jobs in 5-10% of the time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due to my ability to process Excel so far. </a:t>
          </a:r>
          <a:endParaRPr lang="x-none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It has also given me the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confidence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to better get around Excel.</a:t>
          </a:r>
        </a:p>
        <a:p>
          <a:pPr algn="l"/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0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Mitchell Ryan,</a:t>
          </a:r>
          <a:r>
            <a:rPr lang="en-US" sz="1200" b="0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Accountant</a:t>
          </a:r>
          <a:endParaRPr lang="en-US" sz="1200" b="0" i="1">
            <a:solidFill>
              <a:schemeClr val="tx1">
                <a:lumMod val="75000"/>
                <a:lumOff val="25000"/>
              </a:schemeClr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5</xdr:col>
      <xdr:colOff>347096</xdr:colOff>
      <xdr:row>11</xdr:row>
      <xdr:rowOff>103599</xdr:rowOff>
    </xdr:from>
    <xdr:to>
      <xdr:col>5</xdr:col>
      <xdr:colOff>571724</xdr:colOff>
      <xdr:row>11</xdr:row>
      <xdr:rowOff>251428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650C54E0-4605-496C-800F-682D9BA4E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13096" y="3398543"/>
          <a:ext cx="224628" cy="147829"/>
        </a:xfrm>
        <a:prstGeom prst="rect">
          <a:avLst/>
        </a:prstGeom>
      </xdr:spPr>
    </xdr:pic>
    <xdr:clientData/>
  </xdr:twoCellAnchor>
  <xdr:twoCellAnchor>
    <xdr:from>
      <xdr:col>2</xdr:col>
      <xdr:colOff>42334</xdr:colOff>
      <xdr:row>10</xdr:row>
      <xdr:rowOff>325562</xdr:rowOff>
    </xdr:from>
    <xdr:to>
      <xdr:col>2</xdr:col>
      <xdr:colOff>3713239</xdr:colOff>
      <xdr:row>21</xdr:row>
      <xdr:rowOff>49388</xdr:rowOff>
    </xdr:to>
    <xdr:sp macro="" textlink="">
      <xdr:nvSpPr>
        <xdr:cNvPr id="5" name="Rectangle: Rounded Corner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A76AF40-DC10-4E01-9160-9D39008CBF22}"/>
            </a:ext>
          </a:extLst>
        </xdr:cNvPr>
        <xdr:cNvSpPr/>
      </xdr:nvSpPr>
      <xdr:spPr>
        <a:xfrm>
          <a:off x="352778" y="3239506"/>
          <a:ext cx="3670905" cy="2355549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endParaRPr lang="x-none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The Black Belt Bundle gave me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'AH-HA' moments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every step of the way. </a:t>
          </a:r>
          <a:endParaRPr lang="x-none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I'm now able to use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Power Query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and</a:t>
          </a:r>
          <a:r>
            <a:rPr lang="x-none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create dashboards in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no time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!</a:t>
          </a:r>
          <a:r>
            <a:rPr lang="x-none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I'm very excited about it!</a:t>
          </a:r>
        </a:p>
        <a:p>
          <a:pPr algn="l"/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-</a:t>
          </a:r>
          <a:r>
            <a:rPr lang="en-US" sz="1200" b="0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0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Christian Fiset,</a:t>
          </a:r>
          <a:r>
            <a:rPr lang="en-US" sz="1200" b="0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Citzen Developer Team Lead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/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</a:br>
          <a:endParaRPr lang="en-US" sz="1200" i="1">
            <a:solidFill>
              <a:schemeClr val="tx1">
                <a:lumMod val="75000"/>
                <a:lumOff val="25000"/>
              </a:schemeClr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</xdr:col>
      <xdr:colOff>148530</xdr:colOff>
      <xdr:row>11</xdr:row>
      <xdr:rowOff>82732</xdr:rowOff>
    </xdr:from>
    <xdr:to>
      <xdr:col>2</xdr:col>
      <xdr:colOff>351819</xdr:colOff>
      <xdr:row>11</xdr:row>
      <xdr:rowOff>248847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E8356A50-70BC-4B72-8D18-264540027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8974" y="3377676"/>
          <a:ext cx="203289" cy="166115"/>
        </a:xfrm>
        <a:prstGeom prst="rect">
          <a:avLst/>
        </a:prstGeom>
      </xdr:spPr>
    </xdr:pic>
    <xdr:clientData/>
  </xdr:twoCellAnchor>
  <xdr:twoCellAnchor editAs="oneCell">
    <xdr:from>
      <xdr:col>2</xdr:col>
      <xdr:colOff>3900213</xdr:colOff>
      <xdr:row>5</xdr:row>
      <xdr:rowOff>532006</xdr:rowOff>
    </xdr:from>
    <xdr:to>
      <xdr:col>2</xdr:col>
      <xdr:colOff>4980224</xdr:colOff>
      <xdr:row>8</xdr:row>
      <xdr:rowOff>66411</xdr:rowOff>
    </xdr:to>
    <xdr:pic>
      <xdr:nvPicPr>
        <xdr:cNvPr id="7" name="Google Shape;59;p13">
          <a:extLst>
            <a:ext uri="{FF2B5EF4-FFF2-40B4-BE49-F238E27FC236}">
              <a16:creationId xmlns:a16="http://schemas.microsoft.com/office/drawing/2014/main" xmlns="" id="{B9088D54-9771-4482-8219-1DC89C976EFA}"/>
            </a:ext>
          </a:extLst>
        </xdr:cNvPr>
        <xdr:cNvPicPr preferRelativeResize="0"/>
      </xdr:nvPicPr>
      <xdr:blipFill>
        <a:blip xmlns:r="http://schemas.openxmlformats.org/officeDocument/2006/relationships" r:embed="rId3">
          <a:alphaModFix/>
        </a:blip>
        <a:stretch>
          <a:fillRect/>
        </a:stretch>
      </xdr:blipFill>
      <xdr:spPr>
        <a:xfrm rot="1051568" flipH="1">
          <a:off x="4210657" y="1385728"/>
          <a:ext cx="1080012" cy="99896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3931962</xdr:colOff>
      <xdr:row>10</xdr:row>
      <xdr:rowOff>252991</xdr:rowOff>
    </xdr:from>
    <xdr:to>
      <xdr:col>5</xdr:col>
      <xdr:colOff>86683</xdr:colOff>
      <xdr:row>21</xdr:row>
      <xdr:rowOff>0</xdr:rowOff>
    </xdr:to>
    <xdr:sp macro="" textlink="">
      <xdr:nvSpPr>
        <xdr:cNvPr id="9" name="Rectangle: Rounded Corner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C558CCC-5149-4358-87CA-181045E54D0D}"/>
            </a:ext>
          </a:extLst>
        </xdr:cNvPr>
        <xdr:cNvSpPr/>
      </xdr:nvSpPr>
      <xdr:spPr>
        <a:xfrm>
          <a:off x="4242406" y="3166935"/>
          <a:ext cx="3210277" cy="2378732"/>
        </a:xfrm>
        <a:prstGeom prst="roundRect">
          <a:avLst/>
        </a:prstGeom>
        <a:solidFill>
          <a:srgbClr val="E7F3E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endParaRPr lang="x-none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x-none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I was feeling </a:t>
          </a:r>
          <a:r>
            <a:rPr lang="x-none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unconfident</a:t>
          </a:r>
          <a:r>
            <a:rPr lang="x-none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as an older person </a:t>
          </a:r>
          <a:r>
            <a:rPr lang="x-none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in a new role </a:t>
          </a:r>
          <a:r>
            <a:rPr lang="x-none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on a data-driven team. The </a:t>
          </a:r>
          <a:r>
            <a:rPr lang="x-none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XelPlus courses </a:t>
          </a:r>
          <a:r>
            <a:rPr lang="x-none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gave me </a:t>
          </a:r>
          <a:r>
            <a:rPr lang="x-none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new knowledge</a:t>
          </a:r>
          <a:r>
            <a:rPr lang="x-none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, new </a:t>
          </a:r>
          <a:r>
            <a:rPr lang="x-none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confidence</a:t>
          </a:r>
          <a:r>
            <a:rPr lang="x-none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, and new </a:t>
          </a:r>
          <a:r>
            <a:rPr lang="x-none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data presentation skills</a:t>
          </a:r>
          <a:r>
            <a:rPr lang="x-none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.</a:t>
          </a:r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-</a:t>
          </a:r>
          <a:r>
            <a:rPr lang="en-US" sz="1200" b="0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x-none" sz="1200" b="0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Harriet Downing</a:t>
          </a:r>
          <a:r>
            <a:rPr lang="en-US" sz="1200" b="0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, Manager Institute for the Augmented Human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/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</a:br>
          <a:endParaRPr lang="en-US" sz="1200" i="1">
            <a:solidFill>
              <a:schemeClr val="tx1">
                <a:lumMod val="75000"/>
                <a:lumOff val="25000"/>
              </a:schemeClr>
            </a:solidFill>
            <a:latin typeface="Aptos" panose="020B0004020202020204" pitchFamily="34" charset="0"/>
          </a:endParaRPr>
        </a:p>
      </xdr:txBody>
    </xdr:sp>
    <xdr:clientData/>
  </xdr:twoCellAnchor>
  <xdr:twoCellAnchor editAs="oneCell">
    <xdr:from>
      <xdr:col>2</xdr:col>
      <xdr:colOff>4025053</xdr:colOff>
      <xdr:row>11</xdr:row>
      <xdr:rowOff>131113</xdr:rowOff>
    </xdr:from>
    <xdr:to>
      <xdr:col>2</xdr:col>
      <xdr:colOff>4228342</xdr:colOff>
      <xdr:row>11</xdr:row>
      <xdr:rowOff>297228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xmlns="" id="{D6B64113-E4D8-40D9-B34B-87113E26D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35497" y="3426057"/>
          <a:ext cx="203289" cy="166115"/>
        </a:xfrm>
        <a:prstGeom prst="rect">
          <a:avLst/>
        </a:prstGeom>
      </xdr:spPr>
    </xdr:pic>
    <xdr:clientData/>
  </xdr:twoCellAnchor>
  <xdr:twoCellAnchor editAs="oneCell">
    <xdr:from>
      <xdr:col>7</xdr:col>
      <xdr:colOff>60877</xdr:colOff>
      <xdr:row>8</xdr:row>
      <xdr:rowOff>496651</xdr:rowOff>
    </xdr:from>
    <xdr:to>
      <xdr:col>10</xdr:col>
      <xdr:colOff>28577</xdr:colOff>
      <xdr:row>11</xdr:row>
      <xdr:rowOff>165327</xdr:rowOff>
    </xdr:to>
    <xdr:pic>
      <xdr:nvPicPr>
        <xdr:cNvPr id="11" name="Picture 10" descr="Logo&#10;&#10;Description automatically generated with medium confidence">
          <a:extLst>
            <a:ext uri="{FF2B5EF4-FFF2-40B4-BE49-F238E27FC236}">
              <a16:creationId xmlns:a16="http://schemas.microsoft.com/office/drawing/2014/main" xmlns="" id="{03F6B30A-7134-43B1-8BDE-4ECE2B1D2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82766" y="2592151"/>
          <a:ext cx="2006403" cy="730007"/>
        </a:xfrm>
        <a:prstGeom prst="rect">
          <a:avLst/>
        </a:prstGeom>
      </xdr:spPr>
    </xdr:pic>
    <xdr:clientData/>
  </xdr:twoCellAnchor>
  <xdr:twoCellAnchor editAs="oneCell">
    <xdr:from>
      <xdr:col>6</xdr:col>
      <xdr:colOff>518080</xdr:colOff>
      <xdr:row>22</xdr:row>
      <xdr:rowOff>49388</xdr:rowOff>
    </xdr:from>
    <xdr:to>
      <xdr:col>10</xdr:col>
      <xdr:colOff>44777</xdr:colOff>
      <xdr:row>25</xdr:row>
      <xdr:rowOff>33853</xdr:rowOff>
    </xdr:to>
    <xdr:pic>
      <xdr:nvPicPr>
        <xdr:cNvPr id="12" name="Graphic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xmlns="" id="{23C2557A-D9E4-4854-8827-6ADA6A34F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7"/>
            </a:ext>
          </a:extLst>
        </a:blip>
        <a:stretch>
          <a:fillRect/>
        </a:stretch>
      </xdr:blipFill>
      <xdr:spPr>
        <a:xfrm>
          <a:off x="8512024" y="5686777"/>
          <a:ext cx="2069697" cy="534798"/>
        </a:xfrm>
        <a:prstGeom prst="rect">
          <a:avLst/>
        </a:prstGeom>
      </xdr:spPr>
    </xdr:pic>
    <xdr:clientData/>
  </xdr:twoCellAnchor>
  <xdr:oneCellAnchor>
    <xdr:from>
      <xdr:col>2</xdr:col>
      <xdr:colOff>26609</xdr:colOff>
      <xdr:row>8</xdr:row>
      <xdr:rowOff>477205</xdr:rowOff>
    </xdr:from>
    <xdr:ext cx="4868938" cy="448563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101CA148-393C-483C-A164-C0910B433A74}"/>
            </a:ext>
          </a:extLst>
        </xdr:cNvPr>
        <xdr:cNvSpPr txBox="1"/>
      </xdr:nvSpPr>
      <xdr:spPr>
        <a:xfrm>
          <a:off x="337053" y="2572705"/>
          <a:ext cx="4868938" cy="448563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x-none" sz="2000" b="1" baseline="0">
              <a:solidFill>
                <a:srgbClr val="363636"/>
              </a:solidFill>
              <a:latin typeface="Aptos" panose="020B0004020202020204" pitchFamily="34" charset="0"/>
              <a:ea typeface="Roboto Black" panose="02000000000000000000" pitchFamily="2" charset="0"/>
              <a:cs typeface="Roboto Black" panose="02000000000000000000" pitchFamily="2" charset="0"/>
            </a:rPr>
            <a:t>Here’s What Our </a:t>
          </a:r>
          <a:r>
            <a:rPr lang="en-US" sz="2000" b="1" baseline="0">
              <a:solidFill>
                <a:srgbClr val="363636"/>
              </a:solidFill>
              <a:latin typeface="Aptos" panose="020B0004020202020204" pitchFamily="34" charset="0"/>
              <a:ea typeface="Roboto Black" panose="02000000000000000000" pitchFamily="2" charset="0"/>
              <a:cs typeface="Roboto Black" panose="02000000000000000000" pitchFamily="2" charset="0"/>
            </a:rPr>
            <a:t>Members</a:t>
          </a:r>
          <a:r>
            <a:rPr lang="x-none" sz="2000" b="1" baseline="0">
              <a:solidFill>
                <a:srgbClr val="363636"/>
              </a:solidFill>
              <a:latin typeface="Aptos" panose="020B0004020202020204" pitchFamily="34" charset="0"/>
              <a:ea typeface="Roboto Black" panose="02000000000000000000" pitchFamily="2" charset="0"/>
              <a:cs typeface="Roboto Black" panose="02000000000000000000" pitchFamily="2" charset="0"/>
            </a:rPr>
            <a:t> Are Saying:</a:t>
          </a:r>
          <a:endParaRPr lang="en-GB" sz="2000" b="1">
            <a:solidFill>
              <a:srgbClr val="EC4C4C"/>
            </a:solidFill>
            <a:latin typeface="Aptos" panose="020B0004020202020204" pitchFamily="34" charset="0"/>
            <a:ea typeface="Roboto Black" panose="02000000000000000000" pitchFamily="2" charset="0"/>
            <a:cs typeface="Roboto Black" panose="02000000000000000000" pitchFamily="2" charset="0"/>
          </a:endParaRPr>
        </a:p>
      </xdr:txBody>
    </xdr:sp>
    <xdr:clientData/>
  </xdr:oneCellAnchor>
  <xdr:twoCellAnchor>
    <xdr:from>
      <xdr:col>1</xdr:col>
      <xdr:colOff>186466</xdr:colOff>
      <xdr:row>7</xdr:row>
      <xdr:rowOff>7055</xdr:rowOff>
    </xdr:from>
    <xdr:to>
      <xdr:col>2</xdr:col>
      <xdr:colOff>3790850</xdr:colOff>
      <xdr:row>8</xdr:row>
      <xdr:rowOff>300091</xdr:rowOff>
    </xdr:to>
    <xdr:grpSp>
      <xdr:nvGrpSpPr>
        <xdr:cNvPr id="18" name="Group 1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xmlns="" id="{47A16D3D-E671-4987-AC3A-9D31D45AC0C4}"/>
            </a:ext>
          </a:extLst>
        </xdr:cNvPr>
        <xdr:cNvGrpSpPr/>
      </xdr:nvGrpSpPr>
      <xdr:grpSpPr>
        <a:xfrm>
          <a:off x="198440" y="1868512"/>
          <a:ext cx="3788353" cy="674036"/>
          <a:chOff x="292300" y="1968499"/>
          <a:chExt cx="3816050" cy="674036"/>
        </a:xfrm>
      </xdr:grpSpPr>
      <xdr:sp macro="" textlink="">
        <xdr:nvSpPr>
          <xdr:cNvPr id="8" name="Google Shape;62;p13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xmlns="" id="{E9A62B17-7263-4157-8F36-1513FD11DB8B}"/>
              </a:ext>
            </a:extLst>
          </xdr:cNvPr>
          <xdr:cNvSpPr/>
        </xdr:nvSpPr>
        <xdr:spPr>
          <a:xfrm>
            <a:off x="292300" y="1968499"/>
            <a:ext cx="3816050" cy="507999"/>
          </a:xfrm>
          <a:prstGeom prst="roundRect">
            <a:avLst>
              <a:gd name="adj" fmla="val 50000"/>
            </a:avLst>
          </a:prstGeom>
          <a:solidFill>
            <a:srgbClr val="EC4C4C"/>
          </a:solidFill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>
            <a:def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</a:defPPr>
            <a:lvl1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1pPr>
            <a:lvl2pPr marR="0" lvl="1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2pPr>
            <a:lvl3pPr marR="0" lvl="2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3pPr>
            <a:lvl4pPr marR="0" lvl="3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4pPr>
            <a:lvl5pPr marR="0" lvl="4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5pPr>
            <a:lvl6pPr marR="0" lvl="5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6pPr>
            <a:lvl7pPr marR="0" lvl="6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7pPr>
            <a:lvl8pPr marR="0" lvl="7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8pPr>
            <a:lvl9pPr marR="0" lvl="8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9pPr>
          </a:lstStyle>
          <a:p>
            <a:pPr marL="0" lvl="0" indent="0" algn="ctr" rtl="0"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2400"/>
              <a:buFont typeface="Noto Sans Symbols"/>
              <a:buNone/>
            </a:pPr>
            <a:r>
              <a:rPr lang="en-US" sz="1600" b="1" i="0">
                <a:solidFill>
                  <a:schemeClr val="lt1"/>
                </a:solidFill>
                <a:latin typeface="Proxima Nova"/>
                <a:ea typeface="Proxima Nova"/>
                <a:cs typeface="Proxima Nova"/>
                <a:sym typeface="Proxima Nova"/>
              </a:rPr>
              <a:t>Explore Bestselling Courses Now</a:t>
            </a:r>
          </a:p>
        </xdr:txBody>
      </xdr:sp>
      <xdr:pic>
        <xdr:nvPicPr>
          <xdr:cNvPr id="17" name="Graphic 16" descr="Cursor outline">
            <a:extLst>
              <a:ext uri="{FF2B5EF4-FFF2-40B4-BE49-F238E27FC236}">
                <a16:creationId xmlns:a16="http://schemas.microsoft.com/office/drawing/2014/main" xmlns="" id="{8AA904A1-97F1-64B6-B5D4-0CA781BAAA1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xmlns="" r:embed="rId10"/>
              </a:ext>
            </a:extLst>
          </a:blip>
          <a:stretch>
            <a:fillRect/>
          </a:stretch>
        </xdr:blipFill>
        <xdr:spPr>
          <a:xfrm>
            <a:off x="3090334" y="2286001"/>
            <a:ext cx="416278" cy="356534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109536</xdr:colOff>
      <xdr:row>3</xdr:row>
      <xdr:rowOff>42865</xdr:rowOff>
    </xdr:from>
    <xdr:to>
      <xdr:col>4</xdr:col>
      <xdr:colOff>785812</xdr:colOff>
      <xdr:row>3</xdr:row>
      <xdr:rowOff>619127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xmlns="" id="{59F8A3B8-211E-4FA9-BB47-75DFB5E4727E}"/>
            </a:ext>
          </a:extLst>
        </xdr:cNvPr>
        <xdr:cNvSpPr/>
      </xdr:nvSpPr>
      <xdr:spPr>
        <a:xfrm>
          <a:off x="419099" y="595315"/>
          <a:ext cx="1943101" cy="576262"/>
        </a:xfrm>
        <a:prstGeom prst="roundRect">
          <a:avLst/>
        </a:prstGeom>
        <a:solidFill>
          <a:schemeClr val="bg1">
            <a:lumMod val="95000"/>
          </a:schemeClr>
        </a:solidFill>
        <a:ln w="635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4763</xdr:colOff>
      <xdr:row>3</xdr:row>
      <xdr:rowOff>85726</xdr:rowOff>
    </xdr:from>
    <xdr:to>
      <xdr:col>4</xdr:col>
      <xdr:colOff>728662</xdr:colOff>
      <xdr:row>3</xdr:row>
      <xdr:rowOff>357188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B3E436FA-E20E-774A-8E10-C025530FCC9B}"/>
            </a:ext>
          </a:extLst>
        </xdr:cNvPr>
        <xdr:cNvSpPr txBox="1"/>
      </xdr:nvSpPr>
      <xdr:spPr>
        <a:xfrm>
          <a:off x="1690688" y="638176"/>
          <a:ext cx="1585912" cy="2714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>
              <a:solidFill>
                <a:schemeClr val="tx1"/>
              </a:solidFill>
              <a:latin typeface="Aptos" panose="020B0004020202020204" pitchFamily="34" charset="0"/>
            </a:rPr>
            <a:t>Total Revenue</a:t>
          </a:r>
        </a:p>
      </xdr:txBody>
    </xdr:sp>
    <xdr:clientData/>
  </xdr:twoCellAnchor>
  <xdr:twoCellAnchor>
    <xdr:from>
      <xdr:col>3</xdr:col>
      <xdr:colOff>347660</xdr:colOff>
      <xdr:row>3</xdr:row>
      <xdr:rowOff>290512</xdr:rowOff>
    </xdr:from>
    <xdr:to>
      <xdr:col>4</xdr:col>
      <xdr:colOff>738185</xdr:colOff>
      <xdr:row>3</xdr:row>
      <xdr:rowOff>561976</xdr:rowOff>
    </xdr:to>
    <xdr:sp macro="" textlink="$R$5">
      <xdr:nvSpPr>
        <xdr:cNvPr id="5" name="TextBox 4">
          <a:extLst>
            <a:ext uri="{FF2B5EF4-FFF2-40B4-BE49-F238E27FC236}">
              <a16:creationId xmlns:a16="http://schemas.microsoft.com/office/drawing/2014/main" xmlns="" id="{276CE2D2-4A84-6205-9FC8-F63A9F712964}"/>
            </a:ext>
          </a:extLst>
        </xdr:cNvPr>
        <xdr:cNvSpPr txBox="1"/>
      </xdr:nvSpPr>
      <xdr:spPr>
        <a:xfrm>
          <a:off x="766760" y="842962"/>
          <a:ext cx="1547813" cy="2714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AF6631FE-C55B-41E0-A3EE-22AD56087225}" type="TxLink">
            <a:rPr lang="en-US" sz="1400" b="1" i="0" u="none" strike="noStrike">
              <a:solidFill>
                <a:srgbClr val="000000"/>
              </a:solidFill>
              <a:latin typeface="Aptos"/>
            </a:rPr>
            <a:pPr/>
            <a:t>$10,245,746</a:t>
          </a:fld>
          <a:endParaRPr lang="en-US" sz="2000">
            <a:solidFill>
              <a:schemeClr val="tx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6</xdr:col>
      <xdr:colOff>23811</xdr:colOff>
      <xdr:row>3</xdr:row>
      <xdr:rowOff>57152</xdr:rowOff>
    </xdr:from>
    <xdr:to>
      <xdr:col>8</xdr:col>
      <xdr:colOff>14288</xdr:colOff>
      <xdr:row>3</xdr:row>
      <xdr:rowOff>633414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xmlns="" id="{DD9E3155-F185-28EC-07C4-EF8042191D68}"/>
            </a:ext>
          </a:extLst>
        </xdr:cNvPr>
        <xdr:cNvSpPr/>
      </xdr:nvSpPr>
      <xdr:spPr>
        <a:xfrm>
          <a:off x="3190874" y="609602"/>
          <a:ext cx="1543052" cy="576262"/>
        </a:xfrm>
        <a:prstGeom prst="roundRect">
          <a:avLst/>
        </a:prstGeom>
        <a:solidFill>
          <a:schemeClr val="bg1">
            <a:lumMod val="95000"/>
          </a:schemeClr>
        </a:solidFill>
        <a:ln w="635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76200</xdr:colOff>
      <xdr:row>3</xdr:row>
      <xdr:rowOff>90488</xdr:rowOff>
    </xdr:from>
    <xdr:to>
      <xdr:col>8</xdr:col>
      <xdr:colOff>0</xdr:colOff>
      <xdr:row>3</xdr:row>
      <xdr:rowOff>361950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A7E19904-786F-18D6-9671-921282E02F54}"/>
            </a:ext>
          </a:extLst>
        </xdr:cNvPr>
        <xdr:cNvSpPr txBox="1"/>
      </xdr:nvSpPr>
      <xdr:spPr>
        <a:xfrm>
          <a:off x="3243263" y="642938"/>
          <a:ext cx="1476375" cy="2714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>
              <a:solidFill>
                <a:schemeClr val="tx1"/>
              </a:solidFill>
              <a:latin typeface="Aptos" panose="020B0004020202020204" pitchFamily="34" charset="0"/>
            </a:rPr>
            <a:t>Global Headcount</a:t>
          </a:r>
        </a:p>
      </xdr:txBody>
    </xdr:sp>
    <xdr:clientData/>
  </xdr:twoCellAnchor>
  <xdr:twoCellAnchor>
    <xdr:from>
      <xdr:col>6</xdr:col>
      <xdr:colOff>447672</xdr:colOff>
      <xdr:row>3</xdr:row>
      <xdr:rowOff>300037</xdr:rowOff>
    </xdr:from>
    <xdr:to>
      <xdr:col>7</xdr:col>
      <xdr:colOff>752473</xdr:colOff>
      <xdr:row>3</xdr:row>
      <xdr:rowOff>571501</xdr:rowOff>
    </xdr:to>
    <xdr:sp macro="" textlink="$S$5">
      <xdr:nvSpPr>
        <xdr:cNvPr id="8" name="TextBox 7">
          <a:extLst>
            <a:ext uri="{FF2B5EF4-FFF2-40B4-BE49-F238E27FC236}">
              <a16:creationId xmlns:a16="http://schemas.microsoft.com/office/drawing/2014/main" xmlns="" id="{75D3CB26-6693-2481-4291-C5D9B1C61337}"/>
            </a:ext>
          </a:extLst>
        </xdr:cNvPr>
        <xdr:cNvSpPr txBox="1"/>
      </xdr:nvSpPr>
      <xdr:spPr>
        <a:xfrm>
          <a:off x="3614735" y="852487"/>
          <a:ext cx="1033463" cy="2714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414B8AB8-37E8-4D4C-8F86-2C3FA26EC358}" type="TxLink">
            <a:rPr lang="en-US" sz="1400" b="1" i="0" u="none" strike="noStrike">
              <a:solidFill>
                <a:srgbClr val="000000"/>
              </a:solidFill>
              <a:latin typeface="Aptos"/>
              <a:ea typeface="+mn-ea"/>
              <a:cs typeface="+mn-cs"/>
            </a:rPr>
            <a:pPr marL="0" indent="0"/>
            <a:t>1,840</a:t>
          </a:fld>
          <a:endParaRPr lang="en-US" sz="1400" b="1" i="0" u="none" strike="noStrike">
            <a:solidFill>
              <a:srgbClr val="000000"/>
            </a:solidFill>
            <a:latin typeface="Aptos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175415</xdr:colOff>
      <xdr:row>1</xdr:row>
      <xdr:rowOff>76203</xdr:rowOff>
    </xdr:from>
    <xdr:to>
      <xdr:col>1</xdr:col>
      <xdr:colOff>885029</xdr:colOff>
      <xdr:row>2</xdr:row>
      <xdr:rowOff>164310</xdr:rowOff>
    </xdr:to>
    <xdr:pic>
      <xdr:nvPicPr>
        <xdr:cNvPr id="99" name="Picture 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A04D26EF-87AA-ACF7-B057-4F06C139F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715" y="180978"/>
          <a:ext cx="709614" cy="354807"/>
        </a:xfrm>
        <a:prstGeom prst="rect">
          <a:avLst/>
        </a:prstGeom>
      </xdr:spPr>
    </xdr:pic>
    <xdr:clientData/>
  </xdr:twoCellAnchor>
  <xdr:twoCellAnchor editAs="oneCell">
    <xdr:from>
      <xdr:col>1</xdr:col>
      <xdr:colOff>193895</xdr:colOff>
      <xdr:row>3</xdr:row>
      <xdr:rowOff>111574</xdr:rowOff>
    </xdr:from>
    <xdr:to>
      <xdr:col>1</xdr:col>
      <xdr:colOff>866550</xdr:colOff>
      <xdr:row>3</xdr:row>
      <xdr:rowOff>466381</xdr:rowOff>
    </xdr:to>
    <xdr:pic>
      <xdr:nvPicPr>
        <xdr:cNvPr id="101" name="Picture 10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677B75B-DD82-9B52-BAE9-BDDA7CA09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95" y="664024"/>
          <a:ext cx="672655" cy="354807"/>
        </a:xfrm>
        <a:prstGeom prst="rect">
          <a:avLst/>
        </a:prstGeom>
      </xdr:spPr>
    </xdr:pic>
    <xdr:clientData/>
  </xdr:twoCellAnchor>
  <xdr:twoCellAnchor editAs="oneCell">
    <xdr:from>
      <xdr:col>1</xdr:col>
      <xdr:colOff>179111</xdr:colOff>
      <xdr:row>3</xdr:row>
      <xdr:rowOff>594620</xdr:rowOff>
    </xdr:from>
    <xdr:to>
      <xdr:col>1</xdr:col>
      <xdr:colOff>881334</xdr:colOff>
      <xdr:row>4</xdr:row>
      <xdr:rowOff>273152</xdr:rowOff>
    </xdr:to>
    <xdr:pic>
      <xdr:nvPicPr>
        <xdr:cNvPr id="103" name="Picture 10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xmlns="" id="{4372208C-8CC8-F847-B94F-43BBE5AF0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411" y="1147070"/>
          <a:ext cx="702223" cy="354807"/>
        </a:xfrm>
        <a:prstGeom prst="rect">
          <a:avLst/>
        </a:prstGeom>
      </xdr:spPr>
    </xdr:pic>
    <xdr:clientData/>
  </xdr:twoCellAnchor>
  <xdr:twoCellAnchor editAs="oneCell">
    <xdr:from>
      <xdr:col>1</xdr:col>
      <xdr:colOff>234550</xdr:colOff>
      <xdr:row>5</xdr:row>
      <xdr:rowOff>77541</xdr:rowOff>
    </xdr:from>
    <xdr:to>
      <xdr:col>1</xdr:col>
      <xdr:colOff>825895</xdr:colOff>
      <xdr:row>6</xdr:row>
      <xdr:rowOff>141835</xdr:rowOff>
    </xdr:to>
    <xdr:pic>
      <xdr:nvPicPr>
        <xdr:cNvPr id="105" name="Picture 10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xmlns="" id="{1161A67B-50F2-C2A9-0B12-E62E4A628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850" y="1630116"/>
          <a:ext cx="591345" cy="354807"/>
        </a:xfrm>
        <a:prstGeom prst="rect">
          <a:avLst/>
        </a:prstGeom>
      </xdr:spPr>
    </xdr:pic>
    <xdr:clientData/>
  </xdr:twoCellAnchor>
  <xdr:twoCellAnchor editAs="oneCell">
    <xdr:from>
      <xdr:col>1</xdr:col>
      <xdr:colOff>267813</xdr:colOff>
      <xdr:row>6</xdr:row>
      <xdr:rowOff>270074</xdr:rowOff>
    </xdr:from>
    <xdr:to>
      <xdr:col>1</xdr:col>
      <xdr:colOff>792632</xdr:colOff>
      <xdr:row>8</xdr:row>
      <xdr:rowOff>43856</xdr:rowOff>
    </xdr:to>
    <xdr:pic>
      <xdr:nvPicPr>
        <xdr:cNvPr id="107" name="Picture 10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xmlns="" id="{183A746E-87C8-43E6-9210-321E6BFEB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113" y="2113162"/>
          <a:ext cx="524819" cy="354807"/>
        </a:xfrm>
        <a:prstGeom prst="rect">
          <a:avLst/>
        </a:prstGeom>
      </xdr:spPr>
    </xdr:pic>
    <xdr:clientData/>
  </xdr:twoCellAnchor>
  <xdr:twoCellAnchor editAs="oneCell">
    <xdr:from>
      <xdr:col>1</xdr:col>
      <xdr:colOff>267813</xdr:colOff>
      <xdr:row>8</xdr:row>
      <xdr:rowOff>172095</xdr:rowOff>
    </xdr:from>
    <xdr:to>
      <xdr:col>1</xdr:col>
      <xdr:colOff>792632</xdr:colOff>
      <xdr:row>9</xdr:row>
      <xdr:rowOff>236390</xdr:rowOff>
    </xdr:to>
    <xdr:pic>
      <xdr:nvPicPr>
        <xdr:cNvPr id="109" name="Picture 108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xmlns="" id="{88A1D802-95AF-2FDC-A307-7BBF56068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113" y="2596208"/>
          <a:ext cx="524819" cy="354807"/>
        </a:xfrm>
        <a:prstGeom prst="rect">
          <a:avLst/>
        </a:prstGeom>
      </xdr:spPr>
    </xdr:pic>
    <xdr:clientData/>
  </xdr:twoCellAnchor>
  <xdr:twoCellAnchor editAs="oneCell">
    <xdr:from>
      <xdr:col>1</xdr:col>
      <xdr:colOff>264117</xdr:colOff>
      <xdr:row>10</xdr:row>
      <xdr:rowOff>74116</xdr:rowOff>
    </xdr:from>
    <xdr:to>
      <xdr:col>1</xdr:col>
      <xdr:colOff>796328</xdr:colOff>
      <xdr:row>11</xdr:row>
      <xdr:rowOff>138411</xdr:rowOff>
    </xdr:to>
    <xdr:pic>
      <xdr:nvPicPr>
        <xdr:cNvPr id="111" name="Picture 110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xmlns="" id="{AC60A7BB-65D0-CFF1-771B-CE128DA35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417" y="3079254"/>
          <a:ext cx="532211" cy="354807"/>
        </a:xfrm>
        <a:prstGeom prst="rect">
          <a:avLst/>
        </a:prstGeom>
      </xdr:spPr>
    </xdr:pic>
    <xdr:clientData/>
  </xdr:twoCellAnchor>
  <xdr:twoCellAnchor editAs="oneCell">
    <xdr:from>
      <xdr:col>1</xdr:col>
      <xdr:colOff>267813</xdr:colOff>
      <xdr:row>11</xdr:row>
      <xdr:rowOff>266650</xdr:rowOff>
    </xdr:from>
    <xdr:to>
      <xdr:col>1</xdr:col>
      <xdr:colOff>792632</xdr:colOff>
      <xdr:row>13</xdr:row>
      <xdr:rowOff>47824</xdr:rowOff>
    </xdr:to>
    <xdr:pic>
      <xdr:nvPicPr>
        <xdr:cNvPr id="113" name="Picture 112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xmlns="" id="{5C3CC25C-253C-B0B4-0C96-6FF0381B5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113" y="3562300"/>
          <a:ext cx="524819" cy="362199"/>
        </a:xfrm>
        <a:prstGeom prst="rect">
          <a:avLst/>
        </a:prstGeom>
      </xdr:spPr>
    </xdr:pic>
    <xdr:clientData/>
  </xdr:twoCellAnchor>
  <xdr:twoCellAnchor editAs="oneCell">
    <xdr:from>
      <xdr:col>1</xdr:col>
      <xdr:colOff>208678</xdr:colOff>
      <xdr:row>13</xdr:row>
      <xdr:rowOff>176066</xdr:rowOff>
    </xdr:from>
    <xdr:to>
      <xdr:col>1</xdr:col>
      <xdr:colOff>851766</xdr:colOff>
      <xdr:row>14</xdr:row>
      <xdr:rowOff>203401</xdr:rowOff>
    </xdr:to>
    <xdr:pic>
      <xdr:nvPicPr>
        <xdr:cNvPr id="115" name="Picture 114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xmlns="" id="{1739B2CA-9871-C63D-45CF-DB27DE81E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978" y="4052741"/>
          <a:ext cx="643088" cy="317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C4C4C"/>
    <pageSetUpPr fitToPage="1"/>
  </sheetPr>
  <dimension ref="A1:N27"/>
  <sheetViews>
    <sheetView showGridLines="0" zoomScale="70" zoomScaleNormal="70" workbookViewId="0">
      <selection activeCell="F6" sqref="F6"/>
    </sheetView>
  </sheetViews>
  <sheetFormatPr defaultColWidth="0" defaultRowHeight="14.25" customHeight="1" zeroHeight="1"/>
  <cols>
    <col min="1" max="1" width="1" style="9" customWidth="1"/>
    <col min="2" max="2" width="2.125" style="9" customWidth="1"/>
    <col min="3" max="3" width="87" style="9" customWidth="1"/>
    <col min="4" max="4" width="26.5" style="9" customWidth="1"/>
    <col min="5" max="5" width="6.375" style="9" customWidth="1"/>
    <col min="6" max="6" width="9.5" style="9" customWidth="1"/>
    <col min="7" max="9" width="6.375" style="9" customWidth="1"/>
    <col min="10" max="10" width="21" style="9" customWidth="1"/>
    <col min="11" max="11" width="1.625" style="9" customWidth="1"/>
    <col min="12" max="13" width="1.875" style="9" customWidth="1"/>
    <col min="14" max="14" width="0" style="9" hidden="1" customWidth="1"/>
    <col min="15" max="16383" width="10.5" style="9" hidden="1"/>
    <col min="16384" max="16384" width="10.5" style="9" hidden="1" customWidth="1"/>
  </cols>
  <sheetData>
    <row r="1" spans="3:7" s="1" customFormat="1" ht="13.8"/>
    <row r="2" spans="3:7" s="1" customFormat="1" ht="13.8"/>
    <row r="3" spans="3:7" s="1" customFormat="1" ht="10.199999999999999" customHeight="1"/>
    <row r="4" spans="3:7" s="1" customFormat="1" ht="15.6">
      <c r="C4" s="10" t="s">
        <v>0</v>
      </c>
    </row>
    <row r="5" spans="3:7" s="1" customFormat="1" ht="12.45" customHeight="1"/>
    <row r="6" spans="3:7" s="1" customFormat="1" ht="69.599999999999994">
      <c r="C6" s="63" t="s">
        <v>1</v>
      </c>
      <c r="D6" s="76" t="s">
        <v>231</v>
      </c>
      <c r="G6" s="3"/>
    </row>
    <row r="7" spans="3:7" s="1" customFormat="1" ht="12" customHeight="1"/>
    <row r="8" spans="3:7" s="1" customFormat="1" ht="30" customHeight="1">
      <c r="C8" s="4"/>
    </row>
    <row r="9" spans="3:7" s="1" customFormat="1" ht="39.450000000000003" customHeight="1">
      <c r="C9" s="4"/>
    </row>
    <row r="10" spans="3:7" s="1" customFormat="1" ht="14.7" customHeight="1">
      <c r="C10" s="5"/>
      <c r="D10" s="6"/>
      <c r="E10" s="6"/>
    </row>
    <row r="11" spans="3:7" s="1" customFormat="1" ht="30" customHeight="1">
      <c r="C11" s="2"/>
    </row>
    <row r="12" spans="3:7" s="1" customFormat="1" ht="39.75" customHeight="1"/>
    <row r="13" spans="3:7" s="1" customFormat="1" ht="24.75" customHeight="1">
      <c r="C13" s="7"/>
    </row>
    <row r="14" spans="3:7" s="1" customFormat="1" ht="10.199999999999999" customHeight="1"/>
    <row r="15" spans="3:7" s="1" customFormat="1" ht="13.8">
      <c r="C15" s="4"/>
    </row>
    <row r="16" spans="3:7" s="1" customFormat="1" ht="13.8"/>
    <row r="17" spans="1:5" s="1" customFormat="1" ht="13.8"/>
    <row r="18" spans="1:5" s="1" customFormat="1" ht="13.8">
      <c r="C18" s="5"/>
      <c r="D18" s="6"/>
      <c r="E18" s="6"/>
    </row>
    <row r="19" spans="1:5" s="1" customFormat="1" ht="13.8">
      <c r="C19" s="5"/>
      <c r="D19" s="6"/>
      <c r="E19" s="6"/>
    </row>
    <row r="20" spans="1:5" s="1" customFormat="1" ht="16.5" customHeight="1">
      <c r="A20" s="5"/>
      <c r="B20" s="5"/>
      <c r="C20" s="5"/>
      <c r="D20" s="5"/>
      <c r="E20" s="5"/>
    </row>
    <row r="21" spans="1:5" s="1" customFormat="1" ht="13.8">
      <c r="A21" s="5"/>
      <c r="B21" s="5"/>
      <c r="D21" s="5"/>
      <c r="E21" s="5"/>
    </row>
    <row r="22" spans="1:5" s="8" customFormat="1" ht="7.2" customHeight="1"/>
    <row r="23" spans="1:5" s="8" customFormat="1" ht="13.8"/>
    <row r="24" spans="1:5" s="8" customFormat="1" ht="13.8"/>
    <row r="25" spans="1:5" s="8" customFormat="1" ht="13.8"/>
    <row r="26" spans="1:5" s="8" customFormat="1" ht="13.8"/>
    <row r="27" spans="1:5" ht="14.25" customHeight="1"/>
  </sheetData>
  <pageMargins left="0.7" right="0.7" top="0.75" bottom="0.75" header="0.3" footer="0.3"/>
  <pageSetup paperSize="9" scale="7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1"/>
  <sheetViews>
    <sheetView showGridLines="0" topLeftCell="A2" zoomScaleNormal="100" workbookViewId="0">
      <selection activeCell="F2" sqref="F2"/>
    </sheetView>
  </sheetViews>
  <sheetFormatPr defaultColWidth="6" defaultRowHeight="13.8"/>
  <cols>
    <col min="1" max="1" width="1.875" style="12" customWidth="1"/>
    <col min="2" max="2" width="17.125" style="12" customWidth="1"/>
    <col min="3" max="3" width="1.875" style="12" customWidth="1"/>
    <col min="4" max="4" width="18.625" style="12" customWidth="1"/>
    <col min="5" max="5" width="17.125" style="12" customWidth="1"/>
    <col min="6" max="6" width="11.5" style="12" customWidth="1"/>
    <col min="7" max="7" width="11.875" style="12" customWidth="1"/>
    <col min="8" max="8" width="13.375" style="12" customWidth="1"/>
    <col min="9" max="10" width="6" style="12"/>
    <col min="11" max="11" width="49.375" style="12" customWidth="1"/>
    <col min="12" max="17" width="6" style="12"/>
    <col min="18" max="18" width="8.125" style="12" hidden="1" customWidth="1"/>
    <col min="19" max="19" width="9.5" style="12" hidden="1" customWidth="1"/>
    <col min="20" max="20" width="0" style="12" hidden="1" customWidth="1"/>
    <col min="21" max="16384" width="6" style="12"/>
  </cols>
  <sheetData>
    <row r="1" spans="2:19" ht="8.6999999999999993" customHeight="1">
      <c r="B1" s="57"/>
    </row>
    <row r="2" spans="2:19" ht="21">
      <c r="B2" s="62"/>
      <c r="D2" s="50" t="s">
        <v>141</v>
      </c>
    </row>
    <row r="3" spans="2:19">
      <c r="B3" s="62"/>
      <c r="D3" s="13" t="s">
        <v>176</v>
      </c>
    </row>
    <row r="4" spans="2:19" ht="53.25" customHeight="1">
      <c r="B4" s="62"/>
      <c r="K4" s="78" t="s">
        <v>235</v>
      </c>
      <c r="R4" s="51" t="s">
        <v>175</v>
      </c>
      <c r="S4" s="51" t="s">
        <v>177</v>
      </c>
    </row>
    <row r="5" spans="2:19" ht="25.5" customHeight="1">
      <c r="B5" s="62"/>
      <c r="D5" s="49" t="s">
        <v>142</v>
      </c>
      <c r="E5" s="47"/>
      <c r="F5" s="47"/>
      <c r="G5" s="47"/>
      <c r="H5" s="47"/>
      <c r="R5" s="29">
        <f>SUM(E7:E15)</f>
        <v>10245746</v>
      </c>
      <c r="S5" s="34">
        <f>SUM(F7:F15)</f>
        <v>1840</v>
      </c>
    </row>
    <row r="6" spans="2:19" ht="22.95" customHeight="1">
      <c r="B6" s="62"/>
      <c r="D6" s="48" t="s">
        <v>143</v>
      </c>
      <c r="E6" s="48" t="s">
        <v>144</v>
      </c>
      <c r="F6" s="48" t="s">
        <v>75</v>
      </c>
      <c r="G6" s="48" t="s">
        <v>145</v>
      </c>
      <c r="H6" s="48" t="s">
        <v>20</v>
      </c>
    </row>
    <row r="7" spans="2:19" ht="22.95" customHeight="1">
      <c r="B7" s="62"/>
      <c r="D7" s="52" t="s">
        <v>2</v>
      </c>
      <c r="E7" s="53">
        <f>'United Kingdom'!D11</f>
        <v>1106993</v>
      </c>
      <c r="F7" s="54">
        <f>'United Kingdom'!C19</f>
        <v>160</v>
      </c>
      <c r="G7" s="55">
        <v>4.7242047296255099E-2</v>
      </c>
      <c r="H7" s="56" t="s">
        <v>43</v>
      </c>
    </row>
    <row r="8" spans="2:19" ht="22.95" customHeight="1">
      <c r="B8" s="62"/>
      <c r="D8" s="52" t="s">
        <v>10</v>
      </c>
      <c r="E8" s="53">
        <f>'United States'!D11</f>
        <v>2570627</v>
      </c>
      <c r="F8" s="54">
        <f>'United States'!C19</f>
        <v>450</v>
      </c>
      <c r="G8" s="55">
        <v>7.8680986721467103E-2</v>
      </c>
      <c r="H8" s="56" t="s">
        <v>43</v>
      </c>
    </row>
    <row r="9" spans="2:19" ht="22.95" customHeight="1">
      <c r="B9" s="62"/>
      <c r="D9" s="52" t="s">
        <v>3</v>
      </c>
      <c r="E9" s="53">
        <f>Canada!D11</f>
        <v>787810</v>
      </c>
      <c r="F9" s="54">
        <f>Canada!C19</f>
        <v>120</v>
      </c>
      <c r="G9" s="55">
        <v>5.6934581891732103E-2</v>
      </c>
      <c r="H9" s="56" t="s">
        <v>43</v>
      </c>
    </row>
    <row r="10" spans="2:19" ht="22.95" customHeight="1">
      <c r="B10" s="62"/>
      <c r="D10" s="52" t="s">
        <v>6</v>
      </c>
      <c r="E10" s="53">
        <f>Germany!D11</f>
        <v>1239152</v>
      </c>
      <c r="F10" s="54">
        <f>Germany!C19</f>
        <v>180</v>
      </c>
      <c r="G10" s="55">
        <v>2.39367148460784E-2</v>
      </c>
      <c r="H10" s="56" t="s">
        <v>43</v>
      </c>
    </row>
    <row r="11" spans="2:19" ht="22.95" customHeight="1">
      <c r="B11" s="62"/>
      <c r="D11" s="52" t="s">
        <v>4</v>
      </c>
      <c r="E11" s="53">
        <f>Austria!D11</f>
        <v>403493</v>
      </c>
      <c r="F11" s="54">
        <f>Austria!C19</f>
        <v>65</v>
      </c>
      <c r="G11" s="55">
        <v>2.3572104215798601E-2</v>
      </c>
      <c r="H11" s="56" t="s">
        <v>43</v>
      </c>
    </row>
    <row r="12" spans="2:19" ht="22.95" customHeight="1">
      <c r="B12" s="62"/>
      <c r="D12" s="52" t="s">
        <v>7</v>
      </c>
      <c r="E12" s="53">
        <f>France!D11</f>
        <v>981691</v>
      </c>
      <c r="F12" s="54">
        <f>France!C19</f>
        <v>140</v>
      </c>
      <c r="G12" s="55">
        <v>-4.99462533568115E-2</v>
      </c>
      <c r="H12" s="56" t="s">
        <v>43</v>
      </c>
    </row>
    <row r="13" spans="2:19" ht="22.95" customHeight="1">
      <c r="B13" s="62"/>
      <c r="D13" s="52" t="s">
        <v>8</v>
      </c>
      <c r="E13" s="53">
        <f>India!D11</f>
        <v>619513</v>
      </c>
      <c r="F13" s="54">
        <f>India!C19</f>
        <v>280</v>
      </c>
      <c r="G13" s="55">
        <v>0.117944541913325</v>
      </c>
      <c r="H13" s="56" t="s">
        <v>43</v>
      </c>
    </row>
    <row r="14" spans="2:19" ht="22.95" customHeight="1">
      <c r="B14" s="62"/>
      <c r="D14" s="52" t="s">
        <v>9</v>
      </c>
      <c r="E14" s="53">
        <f>China!D11</f>
        <v>1830941</v>
      </c>
      <c r="F14" s="54">
        <f>China!C19</f>
        <v>350</v>
      </c>
      <c r="G14" s="55">
        <v>9.1141805786677701E-2</v>
      </c>
      <c r="H14" s="56" t="s">
        <v>43</v>
      </c>
    </row>
    <row r="15" spans="2:19" ht="22.95" customHeight="1">
      <c r="B15" s="62"/>
      <c r="D15" s="52" t="s">
        <v>5</v>
      </c>
      <c r="E15" s="53">
        <f>Australia!D11</f>
        <v>705526</v>
      </c>
      <c r="F15" s="54">
        <f>Australia!C19</f>
        <v>95</v>
      </c>
      <c r="G15" s="55">
        <v>-0.08</v>
      </c>
      <c r="H15" s="56" t="s">
        <v>43</v>
      </c>
    </row>
    <row r="18" spans="7:8">
      <c r="G18" s="46" t="s">
        <v>42</v>
      </c>
    </row>
    <row r="19" spans="7:8" ht="15">
      <c r="G19" s="24" t="s">
        <v>43</v>
      </c>
      <c r="H19" s="25" t="s">
        <v>146</v>
      </c>
    </row>
    <row r="20" spans="7:8" ht="15">
      <c r="G20" s="26" t="s">
        <v>43</v>
      </c>
      <c r="H20" s="25" t="s">
        <v>147</v>
      </c>
    </row>
    <row r="21" spans="7:8" ht="15">
      <c r="G21" s="27" t="s">
        <v>43</v>
      </c>
      <c r="H21" s="25" t="s">
        <v>148</v>
      </c>
    </row>
  </sheetData>
  <conditionalFormatting sqref="H7:H15">
    <cfRule type="expression" dxfId="122" priority="10">
      <formula>$G7&lt;0</formula>
    </cfRule>
    <cfRule type="expression" dxfId="121" priority="11">
      <formula>AND($G7&gt;=0,$G7&lt;=0.05)</formula>
    </cfRule>
    <cfRule type="expression" dxfId="120" priority="12">
      <formula>$G7&gt;=0.05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2"/>
  <sheetViews>
    <sheetView showGridLines="0" zoomScaleNormal="100" workbookViewId="0">
      <selection activeCell="F2" sqref="F2"/>
    </sheetView>
  </sheetViews>
  <sheetFormatPr defaultColWidth="6" defaultRowHeight="13.8"/>
  <cols>
    <col min="1" max="1" width="3.5" style="12" customWidth="1"/>
    <col min="2" max="2" width="20.625" style="12" customWidth="1"/>
    <col min="3" max="4" width="13.375" style="12" bestFit="1" customWidth="1"/>
    <col min="5" max="6" width="11.125" style="12" bestFit="1" customWidth="1"/>
    <col min="7" max="12" width="9.875" style="12" bestFit="1" customWidth="1"/>
    <col min="13" max="14" width="11.125" style="12" bestFit="1" customWidth="1"/>
    <col min="15" max="15" width="13.375" style="12" bestFit="1" customWidth="1"/>
    <col min="16" max="16384" width="6" style="12"/>
  </cols>
  <sheetData>
    <row r="2" spans="2:15" ht="17.399999999999999">
      <c r="B2" s="43" t="s">
        <v>149</v>
      </c>
      <c r="F2" s="61" t="s">
        <v>233</v>
      </c>
    </row>
    <row r="3" spans="2:15">
      <c r="B3" s="13" t="s">
        <v>150</v>
      </c>
    </row>
    <row r="5" spans="2:15">
      <c r="B5" s="44" t="s">
        <v>151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</row>
    <row r="6" spans="2:15">
      <c r="B6" s="16"/>
      <c r="C6" s="16" t="s">
        <v>50</v>
      </c>
      <c r="D6" s="16" t="s">
        <v>51</v>
      </c>
      <c r="E6" s="16" t="s">
        <v>52</v>
      </c>
      <c r="F6" s="16" t="s">
        <v>53</v>
      </c>
      <c r="G6" s="16" t="s">
        <v>54</v>
      </c>
      <c r="H6" s="16" t="s">
        <v>55</v>
      </c>
      <c r="I6" s="16" t="s">
        <v>56</v>
      </c>
      <c r="J6" s="16" t="s">
        <v>57</v>
      </c>
      <c r="K6" s="16" t="s">
        <v>58</v>
      </c>
      <c r="L6" s="16" t="s">
        <v>59</v>
      </c>
      <c r="M6" s="16" t="s">
        <v>60</v>
      </c>
      <c r="N6" s="16" t="s">
        <v>61</v>
      </c>
      <c r="O6" s="16" t="s">
        <v>62</v>
      </c>
    </row>
    <row r="7" spans="2:15">
      <c r="B7" s="35" t="s">
        <v>152</v>
      </c>
      <c r="C7" s="18">
        <v>84340</v>
      </c>
      <c r="D7" s="18">
        <v>84700</v>
      </c>
      <c r="E7" s="18">
        <v>101622</v>
      </c>
      <c r="F7" s="18">
        <v>100748</v>
      </c>
      <c r="G7" s="18">
        <v>95134</v>
      </c>
      <c r="H7" s="18">
        <v>94258</v>
      </c>
      <c r="I7" s="18">
        <v>87676</v>
      </c>
      <c r="J7" s="18">
        <v>77047</v>
      </c>
      <c r="K7" s="18">
        <v>90521</v>
      </c>
      <c r="L7" s="18">
        <v>84770</v>
      </c>
      <c r="M7" s="18">
        <v>100671</v>
      </c>
      <c r="N7" s="18">
        <v>105506</v>
      </c>
      <c r="O7" s="64">
        <f>SUM(C7:N7)</f>
        <v>1106993</v>
      </c>
    </row>
    <row r="9" spans="2:15">
      <c r="B9" s="44" t="s">
        <v>153</v>
      </c>
      <c r="C9" s="45"/>
      <c r="D9" s="45"/>
      <c r="E9" s="45"/>
      <c r="F9" s="45"/>
      <c r="G9" s="45"/>
    </row>
    <row r="10" spans="2:15">
      <c r="B10" s="16" t="s">
        <v>154</v>
      </c>
      <c r="C10" s="16" t="s">
        <v>155</v>
      </c>
      <c r="D10" s="16" t="s">
        <v>17</v>
      </c>
      <c r="E10" s="16" t="s">
        <v>18</v>
      </c>
      <c r="F10" s="16" t="s">
        <v>19</v>
      </c>
      <c r="G10" s="16" t="s">
        <v>20</v>
      </c>
    </row>
    <row r="11" spans="2:15" ht="15">
      <c r="B11" s="28" t="s">
        <v>144</v>
      </c>
      <c r="C11" s="18">
        <v>1100000</v>
      </c>
      <c r="D11" s="18">
        <f>O7</f>
        <v>1106993</v>
      </c>
      <c r="E11" s="18">
        <f t="shared" ref="E11:E16" si="0">D11-C11</f>
        <v>6993</v>
      </c>
      <c r="F11" s="19">
        <f t="shared" ref="F11:F16" si="1">IF(C11=0,0,(D11-C11)/C11)</f>
        <v>6.357272727272727E-3</v>
      </c>
      <c r="G11" s="20" t="s">
        <v>43</v>
      </c>
    </row>
    <row r="12" spans="2:15" ht="15">
      <c r="B12" s="28" t="s">
        <v>156</v>
      </c>
      <c r="C12" s="19">
        <v>0.22</v>
      </c>
      <c r="D12" s="19">
        <v>0.200123284945319</v>
      </c>
      <c r="E12" s="19">
        <f t="shared" si="0"/>
        <v>-1.9876715054680999E-2</v>
      </c>
      <c r="F12" s="19">
        <f t="shared" si="1"/>
        <v>-9.0348704794004545E-2</v>
      </c>
      <c r="G12" s="20" t="s">
        <v>43</v>
      </c>
    </row>
    <row r="13" spans="2:15" ht="15">
      <c r="B13" s="28" t="s">
        <v>157</v>
      </c>
      <c r="C13" s="36">
        <v>85</v>
      </c>
      <c r="D13" s="36">
        <v>86</v>
      </c>
      <c r="E13" s="36">
        <f t="shared" si="0"/>
        <v>1</v>
      </c>
      <c r="F13" s="19">
        <f t="shared" si="1"/>
        <v>1.1764705882352941E-2</v>
      </c>
      <c r="G13" s="20" t="s">
        <v>43</v>
      </c>
    </row>
    <row r="14" spans="2:15" ht="15">
      <c r="B14" s="28" t="s">
        <v>158</v>
      </c>
      <c r="C14" s="36">
        <v>92</v>
      </c>
      <c r="D14" s="36">
        <v>89</v>
      </c>
      <c r="E14" s="36">
        <f t="shared" si="0"/>
        <v>-3</v>
      </c>
      <c r="F14" s="19">
        <f t="shared" si="1"/>
        <v>-3.2608695652173912E-2</v>
      </c>
      <c r="G14" s="20" t="s">
        <v>43</v>
      </c>
    </row>
    <row r="15" spans="2:15" ht="15">
      <c r="B15" s="28" t="s">
        <v>159</v>
      </c>
      <c r="C15" s="33">
        <v>400</v>
      </c>
      <c r="D15" s="33">
        <v>339</v>
      </c>
      <c r="E15" s="33">
        <f t="shared" si="0"/>
        <v>-61</v>
      </c>
      <c r="F15" s="19">
        <f t="shared" si="1"/>
        <v>-0.1525</v>
      </c>
      <c r="G15" s="20" t="s">
        <v>43</v>
      </c>
    </row>
    <row r="16" spans="2:15" ht="15">
      <c r="B16" s="28" t="s">
        <v>160</v>
      </c>
      <c r="C16" s="36">
        <v>95</v>
      </c>
      <c r="D16" s="36">
        <v>90</v>
      </c>
      <c r="E16" s="36">
        <f t="shared" si="0"/>
        <v>-5</v>
      </c>
      <c r="F16" s="19">
        <f t="shared" si="1"/>
        <v>-5.2631578947368418E-2</v>
      </c>
      <c r="G16" s="20" t="s">
        <v>43</v>
      </c>
    </row>
    <row r="18" spans="2:4">
      <c r="B18" s="44" t="s">
        <v>161</v>
      </c>
      <c r="C18" s="45"/>
      <c r="D18" s="45"/>
    </row>
    <row r="19" spans="2:4">
      <c r="B19" s="21" t="s">
        <v>75</v>
      </c>
      <c r="C19" s="33">
        <v>160</v>
      </c>
    </row>
    <row r="20" spans="2:4">
      <c r="B20" s="21" t="s">
        <v>162</v>
      </c>
      <c r="C20" s="37">
        <v>8</v>
      </c>
    </row>
    <row r="21" spans="2:4">
      <c r="B21" s="21" t="s">
        <v>163</v>
      </c>
      <c r="C21" s="33">
        <v>2010</v>
      </c>
    </row>
    <row r="22" spans="2:4">
      <c r="B22" s="21" t="s">
        <v>164</v>
      </c>
      <c r="C22" s="37" t="s">
        <v>165</v>
      </c>
    </row>
  </sheetData>
  <conditionalFormatting sqref="F11:F16">
    <cfRule type="expression" dxfId="119" priority="4">
      <formula>$F11&lt;-0.1</formula>
    </cfRule>
    <cfRule type="expression" dxfId="118" priority="5">
      <formula>AND($F11&lt;0,$F11&gt;=-0.1)</formula>
    </cfRule>
    <cfRule type="expression" dxfId="117" priority="6">
      <formula>$F11&gt;=0</formula>
    </cfRule>
  </conditionalFormatting>
  <conditionalFormatting sqref="G11:G16">
    <cfRule type="expression" dxfId="116" priority="1">
      <formula>$F11&lt;-0.1</formula>
    </cfRule>
    <cfRule type="expression" dxfId="115" priority="2">
      <formula>AND($F11&lt;0,$F11&gt;=-0.1)</formula>
    </cfRule>
    <cfRule type="expression" dxfId="114" priority="3">
      <formula>$F11&gt;=0</formula>
    </cfRule>
  </conditionalFormatting>
  <hyperlinks>
    <hyperlink ref="F2" location="Summary!F2" display="Summary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2"/>
  <sheetViews>
    <sheetView showGridLines="0" zoomScaleNormal="100" workbookViewId="0">
      <selection activeCell="E2" sqref="E2"/>
    </sheetView>
  </sheetViews>
  <sheetFormatPr defaultColWidth="6" defaultRowHeight="13.8"/>
  <cols>
    <col min="1" max="1" width="3.5" style="12" customWidth="1"/>
    <col min="2" max="2" width="20.625" style="12" customWidth="1"/>
    <col min="3" max="4" width="13.375" style="12" bestFit="1" customWidth="1"/>
    <col min="5" max="14" width="11.125" style="12" bestFit="1" customWidth="1"/>
    <col min="15" max="15" width="13.375" style="12" bestFit="1" customWidth="1"/>
    <col min="16" max="16384" width="6" style="12"/>
  </cols>
  <sheetData>
    <row r="2" spans="2:15" ht="17.399999999999999">
      <c r="B2" s="43" t="s">
        <v>166</v>
      </c>
      <c r="E2" s="61" t="s">
        <v>233</v>
      </c>
    </row>
    <row r="3" spans="2:15">
      <c r="B3" s="13" t="s">
        <v>150</v>
      </c>
    </row>
    <row r="5" spans="2:15">
      <c r="B5" s="44" t="s">
        <v>151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</row>
    <row r="6" spans="2:15">
      <c r="B6" s="16"/>
      <c r="C6" s="16" t="s">
        <v>50</v>
      </c>
      <c r="D6" s="16" t="s">
        <v>51</v>
      </c>
      <c r="E6" s="16" t="s">
        <v>52</v>
      </c>
      <c r="F6" s="16" t="s">
        <v>53</v>
      </c>
      <c r="G6" s="16" t="s">
        <v>54</v>
      </c>
      <c r="H6" s="16" t="s">
        <v>55</v>
      </c>
      <c r="I6" s="16" t="s">
        <v>56</v>
      </c>
      <c r="J6" s="16" t="s">
        <v>57</v>
      </c>
      <c r="K6" s="16" t="s">
        <v>58</v>
      </c>
      <c r="L6" s="16" t="s">
        <v>59</v>
      </c>
      <c r="M6" s="16" t="s">
        <v>60</v>
      </c>
      <c r="N6" s="16" t="s">
        <v>61</v>
      </c>
      <c r="O6" s="16" t="s">
        <v>62</v>
      </c>
    </row>
    <row r="7" spans="2:15">
      <c r="B7" s="35" t="s">
        <v>152</v>
      </c>
      <c r="C7" s="18">
        <v>193444</v>
      </c>
      <c r="D7" s="18">
        <v>203008</v>
      </c>
      <c r="E7" s="18">
        <v>226376</v>
      </c>
      <c r="F7" s="18">
        <v>257109</v>
      </c>
      <c r="G7" s="18">
        <v>202886</v>
      </c>
      <c r="H7" s="18">
        <v>194758</v>
      </c>
      <c r="I7" s="18">
        <v>175401</v>
      </c>
      <c r="J7" s="18">
        <v>197924</v>
      </c>
      <c r="K7" s="18">
        <v>211790</v>
      </c>
      <c r="L7" s="18">
        <v>218570</v>
      </c>
      <c r="M7" s="18">
        <v>248389</v>
      </c>
      <c r="N7" s="18">
        <v>240972</v>
      </c>
      <c r="O7" s="64">
        <f>SUM(C7:N7)</f>
        <v>2570627</v>
      </c>
    </row>
    <row r="9" spans="2:15">
      <c r="B9" s="44" t="s">
        <v>153</v>
      </c>
      <c r="C9" s="45"/>
      <c r="D9" s="45"/>
      <c r="E9" s="45"/>
      <c r="F9" s="45"/>
      <c r="G9" s="45"/>
    </row>
    <row r="10" spans="2:15">
      <c r="B10" s="16" t="s">
        <v>154</v>
      </c>
      <c r="C10" s="16" t="s">
        <v>155</v>
      </c>
      <c r="D10" s="16" t="s">
        <v>17</v>
      </c>
      <c r="E10" s="16" t="s">
        <v>18</v>
      </c>
      <c r="F10" s="16" t="s">
        <v>19</v>
      </c>
      <c r="G10" s="16" t="s">
        <v>20</v>
      </c>
    </row>
    <row r="11" spans="2:15" ht="15">
      <c r="B11" s="28" t="s">
        <v>144</v>
      </c>
      <c r="C11" s="18">
        <v>2500000</v>
      </c>
      <c r="D11" s="18">
        <f>O7</f>
        <v>2570627</v>
      </c>
      <c r="E11" s="18">
        <f t="shared" ref="E11:E16" si="0">D11-C11</f>
        <v>70627</v>
      </c>
      <c r="F11" s="19">
        <f t="shared" ref="F11:F16" si="1">IF(C11=0,0,(D11-C11)/C11)</f>
        <v>2.82508E-2</v>
      </c>
      <c r="G11" s="30" t="s">
        <v>43</v>
      </c>
    </row>
    <row r="12" spans="2:15" ht="15">
      <c r="B12" s="28" t="s">
        <v>156</v>
      </c>
      <c r="C12" s="19">
        <v>0.22</v>
      </c>
      <c r="D12" s="19">
        <v>0.211983268895751</v>
      </c>
      <c r="E12" s="19">
        <f t="shared" si="0"/>
        <v>-8.0167311042489975E-3</v>
      </c>
      <c r="F12" s="19">
        <f t="shared" si="1"/>
        <v>-3.643968683749544E-2</v>
      </c>
      <c r="G12" s="30" t="s">
        <v>43</v>
      </c>
    </row>
    <row r="13" spans="2:15" ht="15">
      <c r="B13" s="28" t="s">
        <v>157</v>
      </c>
      <c r="C13" s="36">
        <v>85</v>
      </c>
      <c r="D13" s="36">
        <v>84</v>
      </c>
      <c r="E13" s="36">
        <f t="shared" si="0"/>
        <v>-1</v>
      </c>
      <c r="F13" s="19">
        <f t="shared" si="1"/>
        <v>-1.1764705882352941E-2</v>
      </c>
      <c r="G13" s="30" t="s">
        <v>43</v>
      </c>
    </row>
    <row r="14" spans="2:15" ht="15">
      <c r="B14" s="28" t="s">
        <v>158</v>
      </c>
      <c r="C14" s="36">
        <v>92</v>
      </c>
      <c r="D14" s="36">
        <v>93</v>
      </c>
      <c r="E14" s="36">
        <f t="shared" si="0"/>
        <v>1</v>
      </c>
      <c r="F14" s="19">
        <f t="shared" si="1"/>
        <v>1.0869565217391304E-2</v>
      </c>
      <c r="G14" s="30" t="s">
        <v>43</v>
      </c>
    </row>
    <row r="15" spans="2:15" ht="15">
      <c r="B15" s="28" t="s">
        <v>159</v>
      </c>
      <c r="C15" s="33">
        <v>1125</v>
      </c>
      <c r="D15" s="33">
        <v>1156</v>
      </c>
      <c r="E15" s="33">
        <f t="shared" si="0"/>
        <v>31</v>
      </c>
      <c r="F15" s="19">
        <f t="shared" si="1"/>
        <v>2.7555555555555555E-2</v>
      </c>
      <c r="G15" s="30" t="s">
        <v>43</v>
      </c>
    </row>
    <row r="16" spans="2:15" ht="15">
      <c r="B16" s="28" t="s">
        <v>160</v>
      </c>
      <c r="C16" s="36">
        <v>95</v>
      </c>
      <c r="D16" s="36">
        <v>94</v>
      </c>
      <c r="E16" s="36">
        <f t="shared" si="0"/>
        <v>-1</v>
      </c>
      <c r="F16" s="19">
        <f t="shared" si="1"/>
        <v>-1.0526315789473684E-2</v>
      </c>
      <c r="G16" s="30" t="s">
        <v>43</v>
      </c>
    </row>
    <row r="18" spans="2:4">
      <c r="B18" s="44" t="s">
        <v>161</v>
      </c>
      <c r="C18" s="45"/>
      <c r="D18" s="45"/>
    </row>
    <row r="19" spans="2:4">
      <c r="B19" s="21" t="s">
        <v>75</v>
      </c>
      <c r="C19" s="33">
        <v>450</v>
      </c>
    </row>
    <row r="20" spans="2:4">
      <c r="B20" s="21" t="s">
        <v>162</v>
      </c>
      <c r="C20" s="37">
        <v>14</v>
      </c>
    </row>
    <row r="21" spans="2:4">
      <c r="B21" s="21" t="s">
        <v>163</v>
      </c>
      <c r="C21" s="33">
        <v>2008</v>
      </c>
    </row>
    <row r="22" spans="2:4">
      <c r="B22" s="21" t="s">
        <v>164</v>
      </c>
      <c r="C22" s="37" t="s">
        <v>167</v>
      </c>
    </row>
  </sheetData>
  <conditionalFormatting sqref="F11:F16">
    <cfRule type="expression" dxfId="113" priority="4">
      <formula>$F11&lt;-0.1</formula>
    </cfRule>
    <cfRule type="expression" dxfId="112" priority="5">
      <formula>AND($F11&lt;0,$F11&gt;=-0.1)</formula>
    </cfRule>
    <cfRule type="expression" dxfId="111" priority="6">
      <formula>$F11&gt;=0</formula>
    </cfRule>
  </conditionalFormatting>
  <conditionalFormatting sqref="G11:G16">
    <cfRule type="expression" dxfId="110" priority="1">
      <formula>$F11&lt;-0.1</formula>
    </cfRule>
    <cfRule type="expression" dxfId="109" priority="2">
      <formula>AND($F11&lt;0,$F11&gt;=-0.1)</formula>
    </cfRule>
    <cfRule type="expression" dxfId="108" priority="3">
      <formula>$F11&gt;=0</formula>
    </cfRule>
  </conditionalFormatting>
  <hyperlinks>
    <hyperlink ref="E2" location="Summary!E2" display="Summary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2"/>
  <sheetViews>
    <sheetView showGridLines="0" zoomScaleNormal="100" workbookViewId="0">
      <selection activeCell="F2" sqref="F2"/>
    </sheetView>
  </sheetViews>
  <sheetFormatPr defaultColWidth="6" defaultRowHeight="13.8"/>
  <cols>
    <col min="1" max="1" width="3.5" style="12" customWidth="1"/>
    <col min="2" max="2" width="20.625" style="12" customWidth="1"/>
    <col min="3" max="4" width="11.125" style="12" bestFit="1" customWidth="1"/>
    <col min="5" max="5" width="10.625" style="12" bestFit="1" customWidth="1"/>
    <col min="6" max="14" width="9.875" style="12" bestFit="1" customWidth="1"/>
    <col min="15" max="15" width="11.125" style="12" bestFit="1" customWidth="1"/>
    <col min="16" max="16384" width="6" style="12"/>
  </cols>
  <sheetData>
    <row r="2" spans="2:15" ht="17.399999999999999">
      <c r="B2" s="43" t="s">
        <v>168</v>
      </c>
      <c r="F2" s="61" t="s">
        <v>233</v>
      </c>
    </row>
    <row r="3" spans="2:15">
      <c r="B3" s="13" t="s">
        <v>150</v>
      </c>
    </row>
    <row r="5" spans="2:15">
      <c r="B5" s="44" t="s">
        <v>151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</row>
    <row r="6" spans="2:15">
      <c r="B6" s="16"/>
      <c r="C6" s="16" t="s">
        <v>50</v>
      </c>
      <c r="D6" s="16" t="s">
        <v>51</v>
      </c>
      <c r="E6" s="16" t="s">
        <v>52</v>
      </c>
      <c r="F6" s="16" t="s">
        <v>53</v>
      </c>
      <c r="G6" s="16" t="s">
        <v>54</v>
      </c>
      <c r="H6" s="16" t="s">
        <v>55</v>
      </c>
      <c r="I6" s="16" t="s">
        <v>56</v>
      </c>
      <c r="J6" s="16" t="s">
        <v>57</v>
      </c>
      <c r="K6" s="16" t="s">
        <v>58</v>
      </c>
      <c r="L6" s="16" t="s">
        <v>59</v>
      </c>
      <c r="M6" s="16" t="s">
        <v>60</v>
      </c>
      <c r="N6" s="16" t="s">
        <v>61</v>
      </c>
      <c r="O6" s="16" t="s">
        <v>62</v>
      </c>
    </row>
    <row r="7" spans="2:15">
      <c r="B7" s="35" t="s">
        <v>152</v>
      </c>
      <c r="C7" s="18">
        <v>55639</v>
      </c>
      <c r="D7" s="18">
        <v>63764</v>
      </c>
      <c r="E7" s="18">
        <v>74083</v>
      </c>
      <c r="F7" s="18">
        <v>71512</v>
      </c>
      <c r="G7" s="18">
        <v>63816</v>
      </c>
      <c r="H7" s="18">
        <v>62410</v>
      </c>
      <c r="I7" s="18">
        <v>57868</v>
      </c>
      <c r="J7" s="18">
        <v>61302</v>
      </c>
      <c r="K7" s="18">
        <v>65224</v>
      </c>
      <c r="L7" s="18">
        <v>65281</v>
      </c>
      <c r="M7" s="18">
        <v>73103</v>
      </c>
      <c r="N7" s="18">
        <v>73808</v>
      </c>
      <c r="O7" s="64">
        <f>SUM(C7:N7)</f>
        <v>787810</v>
      </c>
    </row>
    <row r="9" spans="2:15">
      <c r="B9" s="44" t="s">
        <v>153</v>
      </c>
      <c r="C9" s="45"/>
      <c r="D9" s="45"/>
      <c r="E9" s="45"/>
      <c r="F9" s="45"/>
      <c r="G9" s="45"/>
    </row>
    <row r="10" spans="2:15">
      <c r="B10" s="16" t="s">
        <v>154</v>
      </c>
      <c r="C10" s="16" t="s">
        <v>155</v>
      </c>
      <c r="D10" s="16" t="s">
        <v>17</v>
      </c>
      <c r="E10" s="16" t="s">
        <v>18</v>
      </c>
      <c r="F10" s="16" t="s">
        <v>19</v>
      </c>
      <c r="G10" s="16" t="s">
        <v>20</v>
      </c>
    </row>
    <row r="11" spans="2:15" ht="15">
      <c r="B11" s="28" t="s">
        <v>144</v>
      </c>
      <c r="C11" s="18">
        <v>800000</v>
      </c>
      <c r="D11" s="18">
        <f>O7</f>
        <v>787810</v>
      </c>
      <c r="E11" s="18">
        <f t="shared" ref="E11:E16" si="0">D11-C11</f>
        <v>-12190</v>
      </c>
      <c r="F11" s="19">
        <f t="shared" ref="F11:F16" si="1">IF(C11=0,0,(D11-C11)/C11)</f>
        <v>-1.5237499999999999E-2</v>
      </c>
      <c r="G11" s="30" t="s">
        <v>43</v>
      </c>
    </row>
    <row r="12" spans="2:15" ht="15">
      <c r="B12" s="28" t="s">
        <v>156</v>
      </c>
      <c r="C12" s="19">
        <v>0.22</v>
      </c>
      <c r="D12" s="19">
        <v>0.22977033542627501</v>
      </c>
      <c r="E12" s="19">
        <f t="shared" si="0"/>
        <v>9.7703354262750064E-3</v>
      </c>
      <c r="F12" s="19">
        <f t="shared" si="1"/>
        <v>4.4410615573977304E-2</v>
      </c>
      <c r="G12" s="30" t="s">
        <v>43</v>
      </c>
    </row>
    <row r="13" spans="2:15" ht="15">
      <c r="B13" s="28" t="s">
        <v>157</v>
      </c>
      <c r="C13" s="36">
        <v>85</v>
      </c>
      <c r="D13" s="36">
        <v>85</v>
      </c>
      <c r="E13" s="36">
        <f t="shared" si="0"/>
        <v>0</v>
      </c>
      <c r="F13" s="19">
        <f t="shared" si="1"/>
        <v>0</v>
      </c>
      <c r="G13" s="30" t="s">
        <v>43</v>
      </c>
    </row>
    <row r="14" spans="2:15" ht="15">
      <c r="B14" s="28" t="s">
        <v>158</v>
      </c>
      <c r="C14" s="36">
        <v>92</v>
      </c>
      <c r="D14" s="36">
        <v>83</v>
      </c>
      <c r="E14" s="36">
        <f t="shared" si="0"/>
        <v>-9</v>
      </c>
      <c r="F14" s="19">
        <f t="shared" si="1"/>
        <v>-9.7826086956521743E-2</v>
      </c>
      <c r="G14" s="30" t="s">
        <v>43</v>
      </c>
    </row>
    <row r="15" spans="2:15" ht="15">
      <c r="B15" s="28" t="s">
        <v>159</v>
      </c>
      <c r="C15" s="33">
        <v>300</v>
      </c>
      <c r="D15" s="33">
        <v>323</v>
      </c>
      <c r="E15" s="33">
        <f t="shared" si="0"/>
        <v>23</v>
      </c>
      <c r="F15" s="19">
        <f t="shared" si="1"/>
        <v>7.6666666666666661E-2</v>
      </c>
      <c r="G15" s="30" t="s">
        <v>43</v>
      </c>
    </row>
    <row r="16" spans="2:15" ht="15">
      <c r="B16" s="28" t="s">
        <v>160</v>
      </c>
      <c r="C16" s="36">
        <v>95</v>
      </c>
      <c r="D16" s="36">
        <v>83</v>
      </c>
      <c r="E16" s="36">
        <f t="shared" si="0"/>
        <v>-12</v>
      </c>
      <c r="F16" s="19">
        <f t="shared" si="1"/>
        <v>-0.12631578947368421</v>
      </c>
      <c r="G16" s="30" t="s">
        <v>43</v>
      </c>
    </row>
    <row r="18" spans="2:4">
      <c r="B18" s="44" t="s">
        <v>161</v>
      </c>
      <c r="C18" s="45"/>
      <c r="D18" s="45"/>
    </row>
    <row r="19" spans="2:4">
      <c r="B19" s="21" t="s">
        <v>75</v>
      </c>
      <c r="C19" s="33">
        <v>120</v>
      </c>
    </row>
    <row r="20" spans="2:4">
      <c r="B20" s="21" t="s">
        <v>162</v>
      </c>
      <c r="C20" s="37">
        <v>20</v>
      </c>
    </row>
    <row r="21" spans="2:4">
      <c r="B21" s="21" t="s">
        <v>163</v>
      </c>
      <c r="C21" s="33">
        <v>2012</v>
      </c>
    </row>
    <row r="22" spans="2:4">
      <c r="B22" s="21" t="s">
        <v>164</v>
      </c>
      <c r="C22" s="37" t="s">
        <v>165</v>
      </c>
    </row>
  </sheetData>
  <conditionalFormatting sqref="F11:F16">
    <cfRule type="expression" dxfId="107" priority="4">
      <formula>$F11&lt;-0.1</formula>
    </cfRule>
    <cfRule type="expression" dxfId="106" priority="5">
      <formula>AND($F11&lt;0,$F11&gt;=-0.1)</formula>
    </cfRule>
    <cfRule type="expression" dxfId="105" priority="6">
      <formula>$F11&gt;=0</formula>
    </cfRule>
  </conditionalFormatting>
  <conditionalFormatting sqref="G11:G16">
    <cfRule type="expression" dxfId="104" priority="1">
      <formula>$F11&lt;-0.1</formula>
    </cfRule>
    <cfRule type="expression" dxfId="103" priority="2">
      <formula>AND($F11&lt;0,$F11&gt;=-0.1)</formula>
    </cfRule>
    <cfRule type="expression" dxfId="102" priority="3">
      <formula>$F11&gt;=0</formula>
    </cfRule>
  </conditionalFormatting>
  <hyperlinks>
    <hyperlink ref="F2" location="Summary!F2" display="Summary"/>
  </hyperlink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2"/>
  <sheetViews>
    <sheetView showGridLines="0" zoomScaleNormal="100" workbookViewId="0">
      <selection activeCell="E2" sqref="E2"/>
    </sheetView>
  </sheetViews>
  <sheetFormatPr defaultColWidth="6" defaultRowHeight="13.8"/>
  <cols>
    <col min="1" max="1" width="3.5" style="12" customWidth="1"/>
    <col min="2" max="2" width="20.625" style="12" customWidth="1"/>
    <col min="3" max="4" width="13.375" style="12" bestFit="1" customWidth="1"/>
    <col min="5" max="8" width="11.125" style="12" bestFit="1" customWidth="1"/>
    <col min="9" max="12" width="9.875" style="12" bestFit="1" customWidth="1"/>
    <col min="13" max="14" width="11.125" style="12" bestFit="1" customWidth="1"/>
    <col min="15" max="15" width="13.375" style="12" bestFit="1" customWidth="1"/>
    <col min="16" max="16384" width="6" style="12"/>
  </cols>
  <sheetData>
    <row r="2" spans="2:15" ht="17.399999999999999">
      <c r="B2" s="43" t="s">
        <v>169</v>
      </c>
      <c r="E2" s="61" t="s">
        <v>233</v>
      </c>
    </row>
    <row r="3" spans="2:15">
      <c r="B3" s="13" t="s">
        <v>150</v>
      </c>
    </row>
    <row r="5" spans="2:15">
      <c r="B5" s="44" t="s">
        <v>151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</row>
    <row r="6" spans="2:15">
      <c r="B6" s="16"/>
      <c r="C6" s="16" t="s">
        <v>50</v>
      </c>
      <c r="D6" s="16" t="s">
        <v>51</v>
      </c>
      <c r="E6" s="16" t="s">
        <v>52</v>
      </c>
      <c r="F6" s="16" t="s">
        <v>53</v>
      </c>
      <c r="G6" s="16" t="s">
        <v>54</v>
      </c>
      <c r="H6" s="16" t="s">
        <v>55</v>
      </c>
      <c r="I6" s="16" t="s">
        <v>56</v>
      </c>
      <c r="J6" s="16" t="s">
        <v>57</v>
      </c>
      <c r="K6" s="16" t="s">
        <v>58</v>
      </c>
      <c r="L6" s="16" t="s">
        <v>59</v>
      </c>
      <c r="M6" s="16" t="s">
        <v>60</v>
      </c>
      <c r="N6" s="16" t="s">
        <v>61</v>
      </c>
      <c r="O6" s="16" t="s">
        <v>62</v>
      </c>
    </row>
    <row r="7" spans="2:15">
      <c r="B7" s="35" t="s">
        <v>152</v>
      </c>
      <c r="C7" s="18">
        <v>97049</v>
      </c>
      <c r="D7" s="18">
        <v>102239</v>
      </c>
      <c r="E7" s="18">
        <v>116047</v>
      </c>
      <c r="F7" s="18">
        <v>118396</v>
      </c>
      <c r="G7" s="18">
        <v>105485</v>
      </c>
      <c r="H7" s="18">
        <v>104415</v>
      </c>
      <c r="I7" s="18">
        <v>86098</v>
      </c>
      <c r="J7" s="18">
        <v>83262</v>
      </c>
      <c r="K7" s="18">
        <v>97047</v>
      </c>
      <c r="L7" s="18">
        <v>96283</v>
      </c>
      <c r="M7" s="18">
        <v>109682</v>
      </c>
      <c r="N7" s="18">
        <v>123149</v>
      </c>
      <c r="O7" s="64">
        <f>SUM(C7:N7)</f>
        <v>1239152</v>
      </c>
    </row>
    <row r="9" spans="2:15">
      <c r="B9" s="44" t="s">
        <v>153</v>
      </c>
      <c r="C9" s="45"/>
      <c r="D9" s="45"/>
      <c r="E9" s="45"/>
      <c r="F9" s="45"/>
      <c r="G9" s="45"/>
    </row>
    <row r="10" spans="2:15">
      <c r="B10" s="16" t="s">
        <v>154</v>
      </c>
      <c r="C10" s="16" t="s">
        <v>155</v>
      </c>
      <c r="D10" s="16" t="s">
        <v>17</v>
      </c>
      <c r="E10" s="16" t="s">
        <v>18</v>
      </c>
      <c r="F10" s="16" t="s">
        <v>19</v>
      </c>
      <c r="G10" s="16" t="s">
        <v>20</v>
      </c>
    </row>
    <row r="11" spans="2:15" ht="15">
      <c r="B11" s="28" t="s">
        <v>144</v>
      </c>
      <c r="C11" s="18">
        <v>1200000</v>
      </c>
      <c r="D11" s="18">
        <f>O7</f>
        <v>1239152</v>
      </c>
      <c r="E11" s="18">
        <f t="shared" ref="E11:E16" si="0">D11-C11</f>
        <v>39152</v>
      </c>
      <c r="F11" s="19">
        <f t="shared" ref="F11:F16" si="1">IF(C11=0,0,(D11-C11)/C11)</f>
        <v>3.2626666666666665E-2</v>
      </c>
      <c r="G11" s="30" t="s">
        <v>43</v>
      </c>
    </row>
    <row r="12" spans="2:15" ht="15">
      <c r="B12" s="28" t="s">
        <v>156</v>
      </c>
      <c r="C12" s="19">
        <v>0.22</v>
      </c>
      <c r="D12" s="19">
        <v>0.2077687401327</v>
      </c>
      <c r="E12" s="19">
        <f t="shared" si="0"/>
        <v>-1.2231259867300004E-2</v>
      </c>
      <c r="F12" s="19">
        <f t="shared" si="1"/>
        <v>-5.5596635760454566E-2</v>
      </c>
      <c r="G12" s="30" t="s">
        <v>43</v>
      </c>
    </row>
    <row r="13" spans="2:15" ht="15">
      <c r="B13" s="28" t="s">
        <v>157</v>
      </c>
      <c r="C13" s="36">
        <v>85</v>
      </c>
      <c r="D13" s="36">
        <v>86</v>
      </c>
      <c r="E13" s="36">
        <f t="shared" si="0"/>
        <v>1</v>
      </c>
      <c r="F13" s="19">
        <f t="shared" si="1"/>
        <v>1.1764705882352941E-2</v>
      </c>
      <c r="G13" s="30" t="s">
        <v>43</v>
      </c>
    </row>
    <row r="14" spans="2:15" ht="15">
      <c r="B14" s="28" t="s">
        <v>158</v>
      </c>
      <c r="C14" s="36">
        <v>92</v>
      </c>
      <c r="D14" s="36">
        <v>87</v>
      </c>
      <c r="E14" s="36">
        <f t="shared" si="0"/>
        <v>-5</v>
      </c>
      <c r="F14" s="19">
        <f t="shared" si="1"/>
        <v>-5.434782608695652E-2</v>
      </c>
      <c r="G14" s="30" t="s">
        <v>43</v>
      </c>
    </row>
    <row r="15" spans="2:15" ht="15">
      <c r="B15" s="28" t="s">
        <v>159</v>
      </c>
      <c r="C15" s="33">
        <v>450</v>
      </c>
      <c r="D15" s="33">
        <v>522</v>
      </c>
      <c r="E15" s="33">
        <f t="shared" si="0"/>
        <v>72</v>
      </c>
      <c r="F15" s="19">
        <f t="shared" si="1"/>
        <v>0.16</v>
      </c>
      <c r="G15" s="30" t="s">
        <v>43</v>
      </c>
    </row>
    <row r="16" spans="2:15" ht="15">
      <c r="B16" s="28" t="s">
        <v>160</v>
      </c>
      <c r="C16" s="36">
        <v>95</v>
      </c>
      <c r="D16" s="36">
        <v>88</v>
      </c>
      <c r="E16" s="36">
        <f t="shared" si="0"/>
        <v>-7</v>
      </c>
      <c r="F16" s="19">
        <f t="shared" si="1"/>
        <v>-7.3684210526315783E-2</v>
      </c>
      <c r="G16" s="30" t="s">
        <v>43</v>
      </c>
    </row>
    <row r="18" spans="2:4">
      <c r="B18" s="44" t="s">
        <v>161</v>
      </c>
      <c r="C18" s="45"/>
      <c r="D18" s="45"/>
    </row>
    <row r="19" spans="2:4">
      <c r="B19" s="21" t="s">
        <v>75</v>
      </c>
      <c r="C19" s="33">
        <v>180</v>
      </c>
    </row>
    <row r="20" spans="2:4">
      <c r="B20" s="21" t="s">
        <v>162</v>
      </c>
      <c r="C20" s="37">
        <v>16</v>
      </c>
    </row>
    <row r="21" spans="2:4">
      <c r="B21" s="21" t="s">
        <v>163</v>
      </c>
      <c r="C21" s="33">
        <v>2010</v>
      </c>
    </row>
    <row r="22" spans="2:4">
      <c r="B22" s="21" t="s">
        <v>164</v>
      </c>
      <c r="C22" s="37" t="s">
        <v>167</v>
      </c>
    </row>
  </sheetData>
  <conditionalFormatting sqref="F11:F16">
    <cfRule type="expression" dxfId="101" priority="4">
      <formula>$F11&lt;-0.1</formula>
    </cfRule>
    <cfRule type="expression" dxfId="100" priority="5">
      <formula>AND($F11&lt;0,$F11&gt;=-0.1)</formula>
    </cfRule>
    <cfRule type="expression" dxfId="99" priority="6">
      <formula>$F11&gt;=0</formula>
    </cfRule>
  </conditionalFormatting>
  <conditionalFormatting sqref="G11:G16">
    <cfRule type="expression" dxfId="98" priority="1">
      <formula>$F11&lt;-0.1</formula>
    </cfRule>
    <cfRule type="expression" dxfId="97" priority="2">
      <formula>AND($F11&lt;0,$F11&gt;=-0.1)</formula>
    </cfRule>
    <cfRule type="expression" dxfId="96" priority="3">
      <formula>$F11&gt;=0</formula>
    </cfRule>
  </conditionalFormatting>
  <hyperlinks>
    <hyperlink ref="E2" location="Summary!E2" display="Summary"/>
  </hyperlink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2"/>
  <sheetViews>
    <sheetView showGridLines="0" zoomScaleNormal="100" workbookViewId="0">
      <selection activeCell="F2" sqref="F2"/>
    </sheetView>
  </sheetViews>
  <sheetFormatPr defaultColWidth="6" defaultRowHeight="13.8"/>
  <cols>
    <col min="1" max="1" width="3.5" style="12" customWidth="1"/>
    <col min="2" max="2" width="20.625" style="12" customWidth="1"/>
    <col min="3" max="4" width="11.125" style="12" bestFit="1" customWidth="1"/>
    <col min="5" max="14" width="9.875" style="12" bestFit="1" customWidth="1"/>
    <col min="15" max="15" width="11.125" style="12" bestFit="1" customWidth="1"/>
    <col min="16" max="16384" width="6" style="12"/>
  </cols>
  <sheetData>
    <row r="2" spans="2:15" ht="17.399999999999999">
      <c r="B2" s="43" t="s">
        <v>170</v>
      </c>
      <c r="F2" s="61" t="s">
        <v>233</v>
      </c>
    </row>
    <row r="3" spans="2:15">
      <c r="B3" s="13" t="s">
        <v>150</v>
      </c>
    </row>
    <row r="5" spans="2:15">
      <c r="B5" s="44" t="s">
        <v>151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</row>
    <row r="6" spans="2:15">
      <c r="B6" s="16"/>
      <c r="C6" s="16" t="s">
        <v>50</v>
      </c>
      <c r="D6" s="16" t="s">
        <v>51</v>
      </c>
      <c r="E6" s="16" t="s">
        <v>52</v>
      </c>
      <c r="F6" s="16" t="s">
        <v>53</v>
      </c>
      <c r="G6" s="16" t="s">
        <v>54</v>
      </c>
      <c r="H6" s="16" t="s">
        <v>55</v>
      </c>
      <c r="I6" s="16" t="s">
        <v>56</v>
      </c>
      <c r="J6" s="16" t="s">
        <v>57</v>
      </c>
      <c r="K6" s="16" t="s">
        <v>58</v>
      </c>
      <c r="L6" s="16" t="s">
        <v>59</v>
      </c>
      <c r="M6" s="16" t="s">
        <v>60</v>
      </c>
      <c r="N6" s="16" t="s">
        <v>61</v>
      </c>
      <c r="O6" s="16" t="s">
        <v>62</v>
      </c>
    </row>
    <row r="7" spans="2:15">
      <c r="B7" s="35" t="s">
        <v>152</v>
      </c>
      <c r="C7" s="18">
        <v>28783</v>
      </c>
      <c r="D7" s="18">
        <v>33660</v>
      </c>
      <c r="E7" s="18">
        <v>36878</v>
      </c>
      <c r="F7" s="18">
        <v>38852</v>
      </c>
      <c r="G7" s="18">
        <v>35455</v>
      </c>
      <c r="H7" s="18">
        <v>32796</v>
      </c>
      <c r="I7" s="18">
        <v>28652</v>
      </c>
      <c r="J7" s="18">
        <v>32388</v>
      </c>
      <c r="K7" s="18">
        <v>33384</v>
      </c>
      <c r="L7" s="18">
        <v>31151</v>
      </c>
      <c r="M7" s="18">
        <v>35555</v>
      </c>
      <c r="N7" s="18">
        <v>35939</v>
      </c>
      <c r="O7" s="64">
        <f>SUM(C7:N7)</f>
        <v>403493</v>
      </c>
    </row>
    <row r="9" spans="2:15">
      <c r="B9" s="44" t="s">
        <v>153</v>
      </c>
      <c r="C9" s="45"/>
      <c r="D9" s="45"/>
      <c r="E9" s="45"/>
      <c r="F9" s="45"/>
      <c r="G9" s="45"/>
    </row>
    <row r="10" spans="2:15">
      <c r="B10" s="16" t="s">
        <v>154</v>
      </c>
      <c r="C10" s="16" t="s">
        <v>155</v>
      </c>
      <c r="D10" s="16" t="s">
        <v>17</v>
      </c>
      <c r="E10" s="16" t="s">
        <v>18</v>
      </c>
      <c r="F10" s="16" t="s">
        <v>19</v>
      </c>
      <c r="G10" s="16" t="s">
        <v>20</v>
      </c>
    </row>
    <row r="11" spans="2:15" ht="15">
      <c r="B11" s="28" t="s">
        <v>144</v>
      </c>
      <c r="C11" s="18">
        <v>400000</v>
      </c>
      <c r="D11" s="18">
        <f>O7</f>
        <v>403493</v>
      </c>
      <c r="E11" s="18">
        <f t="shared" ref="E11:E16" si="0">D11-C11</f>
        <v>3493</v>
      </c>
      <c r="F11" s="19">
        <f t="shared" ref="F11:F16" si="1">IF(C11=0,0,(D11-C11)/C11)</f>
        <v>8.7325000000000007E-3</v>
      </c>
      <c r="G11" s="30" t="s">
        <v>43</v>
      </c>
    </row>
    <row r="12" spans="2:15" ht="15">
      <c r="B12" s="28" t="s">
        <v>156</v>
      </c>
      <c r="C12" s="19">
        <v>0.22</v>
      </c>
      <c r="D12" s="19">
        <v>0.239277238047956</v>
      </c>
      <c r="E12" s="19">
        <f t="shared" si="0"/>
        <v>1.9277238047956002E-2</v>
      </c>
      <c r="F12" s="19">
        <f t="shared" si="1"/>
        <v>8.7623809308890924E-2</v>
      </c>
      <c r="G12" s="30" t="s">
        <v>43</v>
      </c>
    </row>
    <row r="13" spans="2:15" ht="15">
      <c r="B13" s="28" t="s">
        <v>157</v>
      </c>
      <c r="C13" s="36">
        <v>85</v>
      </c>
      <c r="D13" s="36">
        <v>82</v>
      </c>
      <c r="E13" s="36">
        <f t="shared" si="0"/>
        <v>-3</v>
      </c>
      <c r="F13" s="19">
        <f t="shared" si="1"/>
        <v>-3.5294117647058823E-2</v>
      </c>
      <c r="G13" s="30" t="s">
        <v>43</v>
      </c>
    </row>
    <row r="14" spans="2:15" ht="15">
      <c r="B14" s="28" t="s">
        <v>158</v>
      </c>
      <c r="C14" s="36">
        <v>92</v>
      </c>
      <c r="D14" s="36">
        <v>81</v>
      </c>
      <c r="E14" s="36">
        <f t="shared" si="0"/>
        <v>-11</v>
      </c>
      <c r="F14" s="19">
        <f t="shared" si="1"/>
        <v>-0.11956521739130435</v>
      </c>
      <c r="G14" s="30" t="s">
        <v>43</v>
      </c>
    </row>
    <row r="15" spans="2:15" ht="15">
      <c r="B15" s="28" t="s">
        <v>159</v>
      </c>
      <c r="C15" s="33">
        <v>162</v>
      </c>
      <c r="D15" s="33">
        <v>149</v>
      </c>
      <c r="E15" s="33">
        <f t="shared" si="0"/>
        <v>-13</v>
      </c>
      <c r="F15" s="19">
        <f t="shared" si="1"/>
        <v>-8.0246913580246909E-2</v>
      </c>
      <c r="G15" s="30" t="s">
        <v>43</v>
      </c>
    </row>
    <row r="16" spans="2:15" ht="15">
      <c r="B16" s="28" t="s">
        <v>160</v>
      </c>
      <c r="C16" s="36">
        <v>95</v>
      </c>
      <c r="D16" s="36">
        <v>96</v>
      </c>
      <c r="E16" s="36">
        <f t="shared" si="0"/>
        <v>1</v>
      </c>
      <c r="F16" s="19">
        <f t="shared" si="1"/>
        <v>1.0526315789473684E-2</v>
      </c>
      <c r="G16" s="30" t="s">
        <v>43</v>
      </c>
    </row>
    <row r="18" spans="2:4">
      <c r="B18" s="44" t="s">
        <v>161</v>
      </c>
      <c r="C18" s="45"/>
      <c r="D18" s="45"/>
    </row>
    <row r="19" spans="2:4">
      <c r="B19" s="21" t="s">
        <v>75</v>
      </c>
      <c r="C19" s="37">
        <v>65</v>
      </c>
    </row>
    <row r="20" spans="2:4">
      <c r="B20" s="21" t="s">
        <v>162</v>
      </c>
      <c r="C20" s="37">
        <v>24</v>
      </c>
    </row>
    <row r="21" spans="2:4">
      <c r="B21" s="21" t="s">
        <v>163</v>
      </c>
      <c r="C21" s="33">
        <v>2012</v>
      </c>
    </row>
    <row r="22" spans="2:4">
      <c r="B22" s="21" t="s">
        <v>164</v>
      </c>
      <c r="C22" s="37" t="s">
        <v>165</v>
      </c>
    </row>
  </sheetData>
  <conditionalFormatting sqref="F11:F16">
    <cfRule type="expression" dxfId="95" priority="4">
      <formula>$F11&lt;-0.1</formula>
    </cfRule>
    <cfRule type="expression" dxfId="94" priority="5">
      <formula>AND($F11&lt;0,$F11&gt;=-0.1)</formula>
    </cfRule>
    <cfRule type="expression" dxfId="93" priority="6">
      <formula>$F11&gt;=0</formula>
    </cfRule>
  </conditionalFormatting>
  <conditionalFormatting sqref="G11:G16">
    <cfRule type="expression" dxfId="92" priority="1">
      <formula>$F11&lt;-0.1</formula>
    </cfRule>
    <cfRule type="expression" dxfId="91" priority="2">
      <formula>AND($F11&lt;0,$F11&gt;=-0.1)</formula>
    </cfRule>
    <cfRule type="expression" dxfId="90" priority="3">
      <formula>$F11&gt;=0</formula>
    </cfRule>
  </conditionalFormatting>
  <hyperlinks>
    <hyperlink ref="F2" location="Summary!F2" display="Summary"/>
  </hyperlink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2"/>
  <sheetViews>
    <sheetView showGridLines="0" zoomScaleNormal="100" workbookViewId="0">
      <selection activeCell="F2" sqref="F2"/>
    </sheetView>
  </sheetViews>
  <sheetFormatPr defaultColWidth="6" defaultRowHeight="13.8"/>
  <cols>
    <col min="1" max="1" width="3.5" style="12" customWidth="1"/>
    <col min="2" max="2" width="20.625" style="12" customWidth="1"/>
    <col min="3" max="4" width="11.125" style="12" bestFit="1" customWidth="1"/>
    <col min="5" max="14" width="9.875" style="12" bestFit="1" customWidth="1"/>
    <col min="15" max="15" width="11.125" style="12" bestFit="1" customWidth="1"/>
    <col min="16" max="16384" width="6" style="12"/>
  </cols>
  <sheetData>
    <row r="2" spans="2:15" ht="17.399999999999999">
      <c r="B2" s="43" t="s">
        <v>171</v>
      </c>
      <c r="F2" s="61" t="s">
        <v>233</v>
      </c>
    </row>
    <row r="3" spans="2:15">
      <c r="B3" s="13" t="s">
        <v>150</v>
      </c>
    </row>
    <row r="5" spans="2:15">
      <c r="B5" s="44" t="s">
        <v>151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</row>
    <row r="6" spans="2:15">
      <c r="B6" s="16"/>
      <c r="C6" s="16" t="s">
        <v>50</v>
      </c>
      <c r="D6" s="16" t="s">
        <v>51</v>
      </c>
      <c r="E6" s="16" t="s">
        <v>52</v>
      </c>
      <c r="F6" s="16" t="s">
        <v>53</v>
      </c>
      <c r="G6" s="16" t="s">
        <v>54</v>
      </c>
      <c r="H6" s="16" t="s">
        <v>55</v>
      </c>
      <c r="I6" s="16" t="s">
        <v>56</v>
      </c>
      <c r="J6" s="16" t="s">
        <v>57</v>
      </c>
      <c r="K6" s="16" t="s">
        <v>58</v>
      </c>
      <c r="L6" s="16" t="s">
        <v>59</v>
      </c>
      <c r="M6" s="16" t="s">
        <v>60</v>
      </c>
      <c r="N6" s="16" t="s">
        <v>61</v>
      </c>
      <c r="O6" s="16" t="s">
        <v>62</v>
      </c>
    </row>
    <row r="7" spans="2:15">
      <c r="B7" s="35" t="s">
        <v>152</v>
      </c>
      <c r="C7" s="18">
        <v>76620</v>
      </c>
      <c r="D7" s="18">
        <v>83736</v>
      </c>
      <c r="E7" s="18">
        <v>83925</v>
      </c>
      <c r="F7" s="18">
        <v>94256</v>
      </c>
      <c r="G7" s="18">
        <v>81468</v>
      </c>
      <c r="H7" s="18">
        <v>79634</v>
      </c>
      <c r="I7" s="18">
        <v>68591</v>
      </c>
      <c r="J7" s="18">
        <v>72856</v>
      </c>
      <c r="K7" s="18">
        <v>74246</v>
      </c>
      <c r="L7" s="18">
        <v>78340</v>
      </c>
      <c r="M7" s="18">
        <v>90367</v>
      </c>
      <c r="N7" s="18">
        <v>97652</v>
      </c>
      <c r="O7" s="64">
        <f>SUM(C7:N7)</f>
        <v>981691</v>
      </c>
    </row>
    <row r="9" spans="2:15">
      <c r="B9" s="44" t="s">
        <v>153</v>
      </c>
      <c r="C9" s="45"/>
      <c r="D9" s="45"/>
      <c r="E9" s="45"/>
      <c r="F9" s="45"/>
      <c r="G9" s="45"/>
    </row>
    <row r="10" spans="2:15">
      <c r="B10" s="16" t="s">
        <v>154</v>
      </c>
      <c r="C10" s="16" t="s">
        <v>155</v>
      </c>
      <c r="D10" s="16" t="s">
        <v>17</v>
      </c>
      <c r="E10" s="16" t="s">
        <v>18</v>
      </c>
      <c r="F10" s="16" t="s">
        <v>19</v>
      </c>
      <c r="G10" s="16" t="s">
        <v>20</v>
      </c>
    </row>
    <row r="11" spans="2:15" ht="15">
      <c r="B11" s="28" t="s">
        <v>144</v>
      </c>
      <c r="C11" s="18">
        <v>950000</v>
      </c>
      <c r="D11" s="18">
        <f>O7</f>
        <v>981691</v>
      </c>
      <c r="E11" s="18">
        <f t="shared" ref="E11:E16" si="0">D11-C11</f>
        <v>31691</v>
      </c>
      <c r="F11" s="19">
        <f t="shared" ref="F11:F16" si="1">IF(C11=0,0,(D11-C11)/C11)</f>
        <v>3.3358947368421051E-2</v>
      </c>
      <c r="G11" s="30" t="s">
        <v>43</v>
      </c>
    </row>
    <row r="12" spans="2:15" ht="15">
      <c r="B12" s="28" t="s">
        <v>156</v>
      </c>
      <c r="C12" s="19">
        <v>0.22</v>
      </c>
      <c r="D12" s="19">
        <v>0.204383677349572</v>
      </c>
      <c r="E12" s="19">
        <f t="shared" si="0"/>
        <v>-1.5616322650428005E-2</v>
      </c>
      <c r="F12" s="19">
        <f t="shared" si="1"/>
        <v>-7.098328477467275E-2</v>
      </c>
      <c r="G12" s="30" t="s">
        <v>43</v>
      </c>
    </row>
    <row r="13" spans="2:15" ht="15">
      <c r="B13" s="28" t="s">
        <v>157</v>
      </c>
      <c r="C13" s="36">
        <v>85</v>
      </c>
      <c r="D13" s="36">
        <v>84</v>
      </c>
      <c r="E13" s="36">
        <f t="shared" si="0"/>
        <v>-1</v>
      </c>
      <c r="F13" s="19">
        <f t="shared" si="1"/>
        <v>-1.1764705882352941E-2</v>
      </c>
      <c r="G13" s="30" t="s">
        <v>43</v>
      </c>
    </row>
    <row r="14" spans="2:15" ht="15">
      <c r="B14" s="28" t="s">
        <v>158</v>
      </c>
      <c r="C14" s="36">
        <v>92</v>
      </c>
      <c r="D14" s="36">
        <v>83</v>
      </c>
      <c r="E14" s="36">
        <f t="shared" si="0"/>
        <v>-9</v>
      </c>
      <c r="F14" s="19">
        <f t="shared" si="1"/>
        <v>-9.7826086956521743E-2</v>
      </c>
      <c r="G14" s="30" t="s">
        <v>43</v>
      </c>
    </row>
    <row r="15" spans="2:15" ht="15">
      <c r="B15" s="28" t="s">
        <v>159</v>
      </c>
      <c r="C15" s="33">
        <v>350</v>
      </c>
      <c r="D15" s="33">
        <v>406</v>
      </c>
      <c r="E15" s="33">
        <f t="shared" si="0"/>
        <v>56</v>
      </c>
      <c r="F15" s="19">
        <f t="shared" si="1"/>
        <v>0.16</v>
      </c>
      <c r="G15" s="30" t="s">
        <v>43</v>
      </c>
    </row>
    <row r="16" spans="2:15" ht="15">
      <c r="B16" s="28" t="s">
        <v>160</v>
      </c>
      <c r="C16" s="36">
        <v>95</v>
      </c>
      <c r="D16" s="36">
        <v>94</v>
      </c>
      <c r="E16" s="36">
        <f t="shared" si="0"/>
        <v>-1</v>
      </c>
      <c r="F16" s="19">
        <f t="shared" si="1"/>
        <v>-1.0526315789473684E-2</v>
      </c>
      <c r="G16" s="30" t="s">
        <v>43</v>
      </c>
    </row>
    <row r="18" spans="2:4">
      <c r="B18" s="44" t="s">
        <v>161</v>
      </c>
      <c r="C18" s="45"/>
      <c r="D18" s="45"/>
    </row>
    <row r="19" spans="2:4">
      <c r="B19" s="21" t="s">
        <v>75</v>
      </c>
      <c r="C19" s="33">
        <v>140</v>
      </c>
    </row>
    <row r="20" spans="2:4">
      <c r="B20" s="21" t="s">
        <v>162</v>
      </c>
      <c r="C20" s="37">
        <v>17</v>
      </c>
    </row>
    <row r="21" spans="2:4">
      <c r="B21" s="21" t="s">
        <v>163</v>
      </c>
      <c r="C21" s="33">
        <v>2018</v>
      </c>
    </row>
    <row r="22" spans="2:4">
      <c r="B22" s="21" t="s">
        <v>164</v>
      </c>
      <c r="C22" s="37" t="s">
        <v>165</v>
      </c>
    </row>
  </sheetData>
  <conditionalFormatting sqref="F11:F16">
    <cfRule type="expression" dxfId="89" priority="4">
      <formula>$F11&lt;-0.1</formula>
    </cfRule>
    <cfRule type="expression" dxfId="88" priority="5">
      <formula>AND($F11&lt;0,$F11&gt;=-0.1)</formula>
    </cfRule>
    <cfRule type="expression" dxfId="87" priority="6">
      <formula>$F11&gt;=0</formula>
    </cfRule>
  </conditionalFormatting>
  <conditionalFormatting sqref="G11:G16">
    <cfRule type="expression" dxfId="86" priority="1">
      <formula>$F11&lt;-0.1</formula>
    </cfRule>
    <cfRule type="expression" dxfId="85" priority="2">
      <formula>AND($F11&lt;0,$F11&gt;=-0.1)</formula>
    </cfRule>
    <cfRule type="expression" dxfId="84" priority="3">
      <formula>$F11&gt;=0</formula>
    </cfRule>
  </conditionalFormatting>
  <hyperlinks>
    <hyperlink ref="F2" location="Summary!F2" display="Summary"/>
  </hyperlink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2"/>
  <sheetViews>
    <sheetView showGridLines="0" zoomScaleNormal="100" workbookViewId="0">
      <selection activeCell="E2" sqref="E2"/>
    </sheetView>
  </sheetViews>
  <sheetFormatPr defaultColWidth="6" defaultRowHeight="13.8"/>
  <cols>
    <col min="1" max="1" width="3.5" style="12" customWidth="1"/>
    <col min="2" max="2" width="20.625" style="12" customWidth="1"/>
    <col min="3" max="4" width="11.125" style="12" bestFit="1" customWidth="1"/>
    <col min="5" max="14" width="9.875" style="12" bestFit="1" customWidth="1"/>
    <col min="15" max="15" width="11.125" style="12" bestFit="1" customWidth="1"/>
    <col min="16" max="16384" width="6" style="12"/>
  </cols>
  <sheetData>
    <row r="2" spans="2:15" ht="17.399999999999999">
      <c r="B2" s="43" t="s">
        <v>172</v>
      </c>
      <c r="E2" s="61" t="s">
        <v>233</v>
      </c>
    </row>
    <row r="3" spans="2:15">
      <c r="B3" s="13" t="s">
        <v>150</v>
      </c>
    </row>
    <row r="5" spans="2:15">
      <c r="B5" s="44" t="s">
        <v>151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</row>
    <row r="6" spans="2:15">
      <c r="B6" s="16"/>
      <c r="C6" s="16" t="s">
        <v>50</v>
      </c>
      <c r="D6" s="16" t="s">
        <v>51</v>
      </c>
      <c r="E6" s="16" t="s">
        <v>52</v>
      </c>
      <c r="F6" s="16" t="s">
        <v>53</v>
      </c>
      <c r="G6" s="16" t="s">
        <v>54</v>
      </c>
      <c r="H6" s="16" t="s">
        <v>55</v>
      </c>
      <c r="I6" s="16" t="s">
        <v>56</v>
      </c>
      <c r="J6" s="16" t="s">
        <v>57</v>
      </c>
      <c r="K6" s="16" t="s">
        <v>58</v>
      </c>
      <c r="L6" s="16" t="s">
        <v>59</v>
      </c>
      <c r="M6" s="16" t="s">
        <v>60</v>
      </c>
      <c r="N6" s="16" t="s">
        <v>61</v>
      </c>
      <c r="O6" s="16" t="s">
        <v>62</v>
      </c>
    </row>
    <row r="7" spans="2:15">
      <c r="B7" s="35" t="s">
        <v>152</v>
      </c>
      <c r="C7" s="18">
        <v>45784</v>
      </c>
      <c r="D7" s="18">
        <v>47222</v>
      </c>
      <c r="E7" s="18">
        <v>59915</v>
      </c>
      <c r="F7" s="18">
        <v>57862</v>
      </c>
      <c r="G7" s="18">
        <v>52229</v>
      </c>
      <c r="H7" s="18">
        <v>50242</v>
      </c>
      <c r="I7" s="18">
        <v>41404</v>
      </c>
      <c r="J7" s="18">
        <v>43733</v>
      </c>
      <c r="K7" s="18">
        <v>46155</v>
      </c>
      <c r="L7" s="18">
        <v>53432</v>
      </c>
      <c r="M7" s="18">
        <v>60984</v>
      </c>
      <c r="N7" s="18">
        <v>60551</v>
      </c>
      <c r="O7" s="64">
        <f>SUM(C7:N7)</f>
        <v>619513</v>
      </c>
    </row>
    <row r="9" spans="2:15">
      <c r="B9" s="44" t="s">
        <v>153</v>
      </c>
      <c r="C9" s="45"/>
      <c r="D9" s="45"/>
      <c r="E9" s="45"/>
      <c r="F9" s="45"/>
      <c r="G9" s="45"/>
    </row>
    <row r="10" spans="2:15">
      <c r="B10" s="16" t="s">
        <v>154</v>
      </c>
      <c r="C10" s="16" t="s">
        <v>155</v>
      </c>
      <c r="D10" s="16" t="s">
        <v>17</v>
      </c>
      <c r="E10" s="16" t="s">
        <v>18</v>
      </c>
      <c r="F10" s="16" t="s">
        <v>19</v>
      </c>
      <c r="G10" s="16" t="s">
        <v>20</v>
      </c>
    </row>
    <row r="11" spans="2:15" ht="15">
      <c r="B11" s="28" t="s">
        <v>144</v>
      </c>
      <c r="C11" s="18">
        <v>600000</v>
      </c>
      <c r="D11" s="18">
        <f>O7</f>
        <v>619513</v>
      </c>
      <c r="E11" s="18">
        <f t="shared" ref="E11:E16" si="0">D11-C11</f>
        <v>19513</v>
      </c>
      <c r="F11" s="19">
        <f t="shared" ref="F11:F16" si="1">IF(C11=0,0,(D11-C11)/C11)</f>
        <v>3.2521666666666664E-2</v>
      </c>
      <c r="G11" s="30" t="s">
        <v>43</v>
      </c>
    </row>
    <row r="12" spans="2:15" ht="15">
      <c r="B12" s="28" t="s">
        <v>156</v>
      </c>
      <c r="C12" s="19">
        <v>0.22</v>
      </c>
      <c r="D12" s="19">
        <v>0.19082306098861601</v>
      </c>
      <c r="E12" s="19">
        <f t="shared" si="0"/>
        <v>-2.917693901138399E-2</v>
      </c>
      <c r="F12" s="19">
        <f t="shared" si="1"/>
        <v>-0.13262245005174542</v>
      </c>
      <c r="G12" s="30" t="s">
        <v>43</v>
      </c>
    </row>
    <row r="13" spans="2:15" ht="15">
      <c r="B13" s="28" t="s">
        <v>157</v>
      </c>
      <c r="C13" s="36">
        <v>85</v>
      </c>
      <c r="D13" s="36">
        <v>89</v>
      </c>
      <c r="E13" s="36">
        <f t="shared" si="0"/>
        <v>4</v>
      </c>
      <c r="F13" s="19">
        <f t="shared" si="1"/>
        <v>4.7058823529411764E-2</v>
      </c>
      <c r="G13" s="30" t="s">
        <v>43</v>
      </c>
    </row>
    <row r="14" spans="2:15" ht="15">
      <c r="B14" s="28" t="s">
        <v>158</v>
      </c>
      <c r="C14" s="36">
        <v>92</v>
      </c>
      <c r="D14" s="36">
        <v>95</v>
      </c>
      <c r="E14" s="36">
        <f t="shared" si="0"/>
        <v>3</v>
      </c>
      <c r="F14" s="19">
        <f t="shared" si="1"/>
        <v>3.2608695652173912E-2</v>
      </c>
      <c r="G14" s="30" t="s">
        <v>43</v>
      </c>
    </row>
    <row r="15" spans="2:15" ht="15">
      <c r="B15" s="28" t="s">
        <v>159</v>
      </c>
      <c r="C15" s="33">
        <v>700</v>
      </c>
      <c r="D15" s="33">
        <v>551</v>
      </c>
      <c r="E15" s="33">
        <f t="shared" si="0"/>
        <v>-149</v>
      </c>
      <c r="F15" s="19">
        <f t="shared" si="1"/>
        <v>-0.21285714285714286</v>
      </c>
      <c r="G15" s="30" t="s">
        <v>43</v>
      </c>
    </row>
    <row r="16" spans="2:15" ht="15">
      <c r="B16" s="28" t="s">
        <v>160</v>
      </c>
      <c r="C16" s="36">
        <v>95</v>
      </c>
      <c r="D16" s="36">
        <v>88</v>
      </c>
      <c r="E16" s="36">
        <f t="shared" si="0"/>
        <v>-7</v>
      </c>
      <c r="F16" s="19">
        <f t="shared" si="1"/>
        <v>-7.3684210526315783E-2</v>
      </c>
      <c r="G16" s="30" t="s">
        <v>43</v>
      </c>
    </row>
    <row r="18" spans="2:4">
      <c r="B18" s="44" t="s">
        <v>161</v>
      </c>
      <c r="C18" s="45"/>
      <c r="D18" s="45"/>
    </row>
    <row r="19" spans="2:4">
      <c r="B19" s="21" t="s">
        <v>75</v>
      </c>
      <c r="C19" s="33">
        <v>280</v>
      </c>
    </row>
    <row r="20" spans="2:4">
      <c r="B20" s="21" t="s">
        <v>162</v>
      </c>
      <c r="C20" s="37">
        <v>10</v>
      </c>
    </row>
    <row r="21" spans="2:4">
      <c r="B21" s="21" t="s">
        <v>163</v>
      </c>
      <c r="C21" s="33">
        <v>2018</v>
      </c>
    </row>
    <row r="22" spans="2:4">
      <c r="B22" s="21" t="s">
        <v>164</v>
      </c>
      <c r="C22" s="37" t="s">
        <v>165</v>
      </c>
    </row>
  </sheetData>
  <conditionalFormatting sqref="F11:F16">
    <cfRule type="expression" dxfId="83" priority="4">
      <formula>$F11&lt;-0.1</formula>
    </cfRule>
    <cfRule type="expression" dxfId="82" priority="5">
      <formula>AND($F11&lt;0,$F11&gt;=-0.1)</formula>
    </cfRule>
    <cfRule type="expression" dxfId="81" priority="6">
      <formula>$F11&gt;=0</formula>
    </cfRule>
  </conditionalFormatting>
  <conditionalFormatting sqref="G11:G16">
    <cfRule type="expression" dxfId="80" priority="1">
      <formula>$F11&lt;-0.1</formula>
    </cfRule>
    <cfRule type="expression" dxfId="79" priority="2">
      <formula>AND($F11&lt;0,$F11&gt;=-0.1)</formula>
    </cfRule>
    <cfRule type="expression" dxfId="78" priority="3">
      <formula>$F11&gt;=0</formula>
    </cfRule>
  </conditionalFormatting>
  <hyperlinks>
    <hyperlink ref="E2" location="Summary!E2" display="Summary"/>
  </hyperlink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2"/>
  <sheetViews>
    <sheetView showGridLines="0" zoomScaleNormal="100" workbookViewId="0">
      <selection activeCell="E2" sqref="E2"/>
    </sheetView>
  </sheetViews>
  <sheetFormatPr defaultColWidth="6" defaultRowHeight="13.8"/>
  <cols>
    <col min="1" max="1" width="3.5" style="12" customWidth="1"/>
    <col min="2" max="2" width="20.625" style="12" customWidth="1"/>
    <col min="3" max="4" width="13.375" style="12" bestFit="1" customWidth="1"/>
    <col min="5" max="14" width="11.125" style="12" bestFit="1" customWidth="1"/>
    <col min="15" max="15" width="13.375" style="12" bestFit="1" customWidth="1"/>
    <col min="16" max="16384" width="6" style="12"/>
  </cols>
  <sheetData>
    <row r="2" spans="2:15" ht="17.399999999999999">
      <c r="B2" s="43" t="s">
        <v>173</v>
      </c>
      <c r="E2" s="61" t="s">
        <v>233</v>
      </c>
    </row>
    <row r="3" spans="2:15">
      <c r="B3" s="13" t="s">
        <v>150</v>
      </c>
    </row>
    <row r="5" spans="2:15">
      <c r="B5" s="44" t="s">
        <v>151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</row>
    <row r="6" spans="2:15">
      <c r="B6" s="16"/>
      <c r="C6" s="16" t="s">
        <v>50</v>
      </c>
      <c r="D6" s="16" t="s">
        <v>51</v>
      </c>
      <c r="E6" s="16" t="s">
        <v>52</v>
      </c>
      <c r="F6" s="16" t="s">
        <v>53</v>
      </c>
      <c r="G6" s="16" t="s">
        <v>54</v>
      </c>
      <c r="H6" s="16" t="s">
        <v>55</v>
      </c>
      <c r="I6" s="16" t="s">
        <v>56</v>
      </c>
      <c r="J6" s="16" t="s">
        <v>57</v>
      </c>
      <c r="K6" s="16" t="s">
        <v>58</v>
      </c>
      <c r="L6" s="16" t="s">
        <v>59</v>
      </c>
      <c r="M6" s="16" t="s">
        <v>60</v>
      </c>
      <c r="N6" s="16" t="s">
        <v>61</v>
      </c>
      <c r="O6" s="16" t="s">
        <v>62</v>
      </c>
    </row>
    <row r="7" spans="2:15">
      <c r="B7" s="35" t="s">
        <v>152</v>
      </c>
      <c r="C7" s="18">
        <v>140742</v>
      </c>
      <c r="D7" s="18">
        <v>141081</v>
      </c>
      <c r="E7" s="18">
        <v>171817</v>
      </c>
      <c r="F7" s="18">
        <v>173874</v>
      </c>
      <c r="G7" s="18">
        <v>144361</v>
      </c>
      <c r="H7" s="18">
        <v>158938</v>
      </c>
      <c r="I7" s="18">
        <v>133339</v>
      </c>
      <c r="J7" s="18">
        <v>128774</v>
      </c>
      <c r="K7" s="18">
        <v>150943</v>
      </c>
      <c r="L7" s="18">
        <v>155518</v>
      </c>
      <c r="M7" s="18">
        <v>164251</v>
      </c>
      <c r="N7" s="18">
        <v>167303</v>
      </c>
      <c r="O7" s="64">
        <f>SUM(C7:N7)</f>
        <v>1830941</v>
      </c>
    </row>
    <row r="9" spans="2:15">
      <c r="B9" s="44" t="s">
        <v>153</v>
      </c>
      <c r="C9" s="45"/>
      <c r="D9" s="45"/>
      <c r="E9" s="45"/>
      <c r="F9" s="45"/>
      <c r="G9" s="45"/>
    </row>
    <row r="10" spans="2:15">
      <c r="B10" s="16" t="s">
        <v>154</v>
      </c>
      <c r="C10" s="16" t="s">
        <v>155</v>
      </c>
      <c r="D10" s="16" t="s">
        <v>17</v>
      </c>
      <c r="E10" s="16" t="s">
        <v>18</v>
      </c>
      <c r="F10" s="16" t="s">
        <v>19</v>
      </c>
      <c r="G10" s="16" t="s">
        <v>20</v>
      </c>
    </row>
    <row r="11" spans="2:15" ht="15">
      <c r="B11" s="28" t="s">
        <v>144</v>
      </c>
      <c r="C11" s="18">
        <v>1800000</v>
      </c>
      <c r="D11" s="18">
        <f>O7</f>
        <v>1830941</v>
      </c>
      <c r="E11" s="18">
        <f t="shared" ref="E11:E16" si="0">D11-C11</f>
        <v>30941</v>
      </c>
      <c r="F11" s="19">
        <f t="shared" ref="F11:F16" si="1">IF(C11=0,0,(D11-C11)/C11)</f>
        <v>1.7189444444444445E-2</v>
      </c>
      <c r="G11" s="30" t="s">
        <v>43</v>
      </c>
    </row>
    <row r="12" spans="2:15" ht="15">
      <c r="B12" s="28" t="s">
        <v>156</v>
      </c>
      <c r="C12" s="19">
        <v>0.22</v>
      </c>
      <c r="D12" s="19">
        <v>0.22989195180420399</v>
      </c>
      <c r="E12" s="19">
        <f t="shared" si="0"/>
        <v>9.8919518042039911E-3</v>
      </c>
      <c r="F12" s="19">
        <f t="shared" si="1"/>
        <v>4.4963417291836325E-2</v>
      </c>
      <c r="G12" s="30" t="s">
        <v>43</v>
      </c>
    </row>
    <row r="13" spans="2:15" ht="15">
      <c r="B13" s="28" t="s">
        <v>157</v>
      </c>
      <c r="C13" s="36">
        <v>85</v>
      </c>
      <c r="D13" s="36">
        <v>83</v>
      </c>
      <c r="E13" s="36">
        <f t="shared" si="0"/>
        <v>-2</v>
      </c>
      <c r="F13" s="19">
        <f t="shared" si="1"/>
        <v>-2.3529411764705882E-2</v>
      </c>
      <c r="G13" s="30" t="s">
        <v>43</v>
      </c>
    </row>
    <row r="14" spans="2:15" ht="15">
      <c r="B14" s="28" t="s">
        <v>158</v>
      </c>
      <c r="C14" s="36">
        <v>92</v>
      </c>
      <c r="D14" s="36">
        <v>89</v>
      </c>
      <c r="E14" s="36">
        <f t="shared" si="0"/>
        <v>-3</v>
      </c>
      <c r="F14" s="19">
        <f t="shared" si="1"/>
        <v>-3.2608695652173912E-2</v>
      </c>
      <c r="G14" s="30" t="s">
        <v>43</v>
      </c>
    </row>
    <row r="15" spans="2:15" ht="15">
      <c r="B15" s="28" t="s">
        <v>159</v>
      </c>
      <c r="C15" s="33">
        <v>875</v>
      </c>
      <c r="D15" s="33">
        <v>703</v>
      </c>
      <c r="E15" s="33">
        <f t="shared" si="0"/>
        <v>-172</v>
      </c>
      <c r="F15" s="19">
        <f t="shared" si="1"/>
        <v>-0.19657142857142856</v>
      </c>
      <c r="G15" s="30" t="s">
        <v>43</v>
      </c>
    </row>
    <row r="16" spans="2:15" ht="15">
      <c r="B16" s="28" t="s">
        <v>160</v>
      </c>
      <c r="C16" s="36">
        <v>95</v>
      </c>
      <c r="D16" s="36">
        <v>84</v>
      </c>
      <c r="E16" s="36">
        <f t="shared" si="0"/>
        <v>-11</v>
      </c>
      <c r="F16" s="19">
        <f t="shared" si="1"/>
        <v>-0.11578947368421053</v>
      </c>
      <c r="G16" s="30" t="s">
        <v>43</v>
      </c>
    </row>
    <row r="18" spans="2:4">
      <c r="B18" s="44" t="s">
        <v>161</v>
      </c>
      <c r="C18" s="45"/>
      <c r="D18" s="45"/>
    </row>
    <row r="19" spans="2:4">
      <c r="B19" s="21" t="s">
        <v>75</v>
      </c>
      <c r="C19" s="33">
        <v>350</v>
      </c>
    </row>
    <row r="20" spans="2:4">
      <c r="B20" s="21" t="s">
        <v>162</v>
      </c>
      <c r="C20" s="37">
        <v>18</v>
      </c>
    </row>
    <row r="21" spans="2:4">
      <c r="B21" s="21" t="s">
        <v>163</v>
      </c>
      <c r="C21" s="33">
        <v>2008</v>
      </c>
    </row>
    <row r="22" spans="2:4">
      <c r="B22" s="21" t="s">
        <v>164</v>
      </c>
      <c r="C22" s="37" t="s">
        <v>167</v>
      </c>
    </row>
  </sheetData>
  <conditionalFormatting sqref="F11:F16">
    <cfRule type="expression" dxfId="77" priority="4">
      <formula>$F11&lt;-0.1</formula>
    </cfRule>
    <cfRule type="expression" dxfId="76" priority="5">
      <formula>AND($F11&lt;0,$F11&gt;=-0.1)</formula>
    </cfRule>
    <cfRule type="expression" dxfId="75" priority="6">
      <formula>$F11&gt;=0</formula>
    </cfRule>
  </conditionalFormatting>
  <conditionalFormatting sqref="G11:G16">
    <cfRule type="expression" dxfId="74" priority="1">
      <formula>$F11&lt;-0.1</formula>
    </cfRule>
    <cfRule type="expression" dxfId="73" priority="2">
      <formula>AND($F11&lt;0,$F11&gt;=-0.1)</formula>
    </cfRule>
    <cfRule type="expression" dxfId="72" priority="3">
      <formula>$F11&gt;=0</formula>
    </cfRule>
  </conditionalFormatting>
  <hyperlinks>
    <hyperlink ref="E2" location="Summary!E2" display="Summary"/>
  </hyperlink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2"/>
  <sheetViews>
    <sheetView showGridLines="0" zoomScaleNormal="100" workbookViewId="0">
      <selection activeCell="F2" sqref="F2"/>
    </sheetView>
  </sheetViews>
  <sheetFormatPr defaultColWidth="6" defaultRowHeight="13.8"/>
  <cols>
    <col min="1" max="1" width="3.5" style="12" customWidth="1"/>
    <col min="2" max="2" width="20.625" style="12" customWidth="1"/>
    <col min="3" max="4" width="11.125" style="12" bestFit="1" customWidth="1"/>
    <col min="5" max="14" width="9.875" style="12" bestFit="1" customWidth="1"/>
    <col min="15" max="15" width="11.125" style="12" bestFit="1" customWidth="1"/>
    <col min="16" max="16384" width="6" style="12"/>
  </cols>
  <sheetData>
    <row r="2" spans="2:15" ht="17.399999999999999">
      <c r="B2" s="43" t="s">
        <v>174</v>
      </c>
      <c r="F2" s="61" t="s">
        <v>233</v>
      </c>
    </row>
    <row r="3" spans="2:15">
      <c r="B3" s="13" t="s">
        <v>150</v>
      </c>
    </row>
    <row r="5" spans="2:15">
      <c r="B5" s="44" t="s">
        <v>151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</row>
    <row r="6" spans="2:15">
      <c r="B6" s="16"/>
      <c r="C6" s="16" t="s">
        <v>50</v>
      </c>
      <c r="D6" s="16" t="s">
        <v>51</v>
      </c>
      <c r="E6" s="16" t="s">
        <v>52</v>
      </c>
      <c r="F6" s="16" t="s">
        <v>53</v>
      </c>
      <c r="G6" s="16" t="s">
        <v>54</v>
      </c>
      <c r="H6" s="16" t="s">
        <v>55</v>
      </c>
      <c r="I6" s="16" t="s">
        <v>56</v>
      </c>
      <c r="J6" s="16" t="s">
        <v>57</v>
      </c>
      <c r="K6" s="16" t="s">
        <v>58</v>
      </c>
      <c r="L6" s="16" t="s">
        <v>59</v>
      </c>
      <c r="M6" s="16" t="s">
        <v>60</v>
      </c>
      <c r="N6" s="16" t="s">
        <v>61</v>
      </c>
      <c r="O6" s="16" t="s">
        <v>62</v>
      </c>
    </row>
    <row r="7" spans="2:15">
      <c r="B7" s="35" t="s">
        <v>152</v>
      </c>
      <c r="C7" s="18">
        <v>53241</v>
      </c>
      <c r="D7" s="18">
        <v>55814</v>
      </c>
      <c r="E7" s="18">
        <v>64080</v>
      </c>
      <c r="F7" s="18">
        <v>62478</v>
      </c>
      <c r="G7" s="18">
        <v>59556</v>
      </c>
      <c r="H7" s="18">
        <v>55803</v>
      </c>
      <c r="I7" s="18">
        <v>55905</v>
      </c>
      <c r="J7" s="18">
        <v>55520</v>
      </c>
      <c r="K7" s="18">
        <v>54328</v>
      </c>
      <c r="L7" s="18">
        <v>55888</v>
      </c>
      <c r="M7" s="18">
        <v>68897</v>
      </c>
      <c r="N7" s="18">
        <v>64016</v>
      </c>
      <c r="O7" s="64">
        <f>SUM(C7:N7)</f>
        <v>705526</v>
      </c>
    </row>
    <row r="9" spans="2:15">
      <c r="B9" s="44" t="s">
        <v>153</v>
      </c>
      <c r="C9" s="45"/>
      <c r="D9" s="45"/>
      <c r="E9" s="45"/>
      <c r="F9" s="45"/>
      <c r="G9" s="45"/>
    </row>
    <row r="10" spans="2:15">
      <c r="B10" s="16" t="s">
        <v>154</v>
      </c>
      <c r="C10" s="16" t="s">
        <v>155</v>
      </c>
      <c r="D10" s="16" t="s">
        <v>17</v>
      </c>
      <c r="E10" s="16" t="s">
        <v>18</v>
      </c>
      <c r="F10" s="16" t="s">
        <v>19</v>
      </c>
      <c r="G10" s="16" t="s">
        <v>20</v>
      </c>
    </row>
    <row r="11" spans="2:15" ht="15">
      <c r="B11" s="28" t="s">
        <v>144</v>
      </c>
      <c r="C11" s="18">
        <v>700000</v>
      </c>
      <c r="D11" s="18">
        <f>O7</f>
        <v>705526</v>
      </c>
      <c r="E11" s="18">
        <f t="shared" ref="E11:E16" si="0">D11-C11</f>
        <v>5526</v>
      </c>
      <c r="F11" s="19">
        <f t="shared" ref="F11:F16" si="1">IF(C11=0,0,(D11-C11)/C11)</f>
        <v>7.8942857142857148E-3</v>
      </c>
      <c r="G11" s="30" t="s">
        <v>43</v>
      </c>
    </row>
    <row r="12" spans="2:15" ht="15">
      <c r="B12" s="28" t="s">
        <v>156</v>
      </c>
      <c r="C12" s="19">
        <v>0.22</v>
      </c>
      <c r="D12" s="19">
        <v>0.24874393987832399</v>
      </c>
      <c r="E12" s="19">
        <f t="shared" si="0"/>
        <v>2.8743939878323993E-2</v>
      </c>
      <c r="F12" s="19">
        <f t="shared" si="1"/>
        <v>0.13065427217419998</v>
      </c>
      <c r="G12" s="30" t="s">
        <v>43</v>
      </c>
    </row>
    <row r="13" spans="2:15" ht="15">
      <c r="B13" s="28" t="s">
        <v>157</v>
      </c>
      <c r="C13" s="36">
        <v>85</v>
      </c>
      <c r="D13" s="36">
        <v>85</v>
      </c>
      <c r="E13" s="36">
        <f t="shared" si="0"/>
        <v>0</v>
      </c>
      <c r="F13" s="19">
        <f t="shared" si="1"/>
        <v>0</v>
      </c>
      <c r="G13" s="30" t="s">
        <v>43</v>
      </c>
    </row>
    <row r="14" spans="2:15" ht="15">
      <c r="B14" s="28" t="s">
        <v>158</v>
      </c>
      <c r="C14" s="36">
        <v>92</v>
      </c>
      <c r="D14" s="36">
        <v>88</v>
      </c>
      <c r="E14" s="36">
        <f t="shared" si="0"/>
        <v>-4</v>
      </c>
      <c r="F14" s="19">
        <f t="shared" si="1"/>
        <v>-4.3478260869565216E-2</v>
      </c>
      <c r="G14" s="30" t="s">
        <v>43</v>
      </c>
    </row>
    <row r="15" spans="2:15" ht="15">
      <c r="B15" s="28" t="s">
        <v>159</v>
      </c>
      <c r="C15" s="33">
        <v>237</v>
      </c>
      <c r="D15" s="33">
        <v>261</v>
      </c>
      <c r="E15" s="33">
        <f t="shared" si="0"/>
        <v>24</v>
      </c>
      <c r="F15" s="19">
        <f t="shared" si="1"/>
        <v>0.10126582278481013</v>
      </c>
      <c r="G15" s="30" t="s">
        <v>43</v>
      </c>
    </row>
    <row r="16" spans="2:15" ht="15">
      <c r="B16" s="28" t="s">
        <v>160</v>
      </c>
      <c r="C16" s="36">
        <v>95</v>
      </c>
      <c r="D16" s="36">
        <v>93</v>
      </c>
      <c r="E16" s="36">
        <f t="shared" si="0"/>
        <v>-2</v>
      </c>
      <c r="F16" s="19">
        <f t="shared" si="1"/>
        <v>-2.1052631578947368E-2</v>
      </c>
      <c r="G16" s="30" t="s">
        <v>43</v>
      </c>
    </row>
    <row r="18" spans="2:4">
      <c r="B18" s="44" t="s">
        <v>161</v>
      </c>
      <c r="C18" s="45"/>
      <c r="D18" s="45"/>
    </row>
    <row r="19" spans="2:4">
      <c r="B19" s="21" t="s">
        <v>75</v>
      </c>
      <c r="C19" s="37">
        <v>95</v>
      </c>
    </row>
    <row r="20" spans="2:4">
      <c r="B20" s="21" t="s">
        <v>162</v>
      </c>
      <c r="C20" s="37">
        <v>14</v>
      </c>
    </row>
    <row r="21" spans="2:4">
      <c r="B21" s="21" t="s">
        <v>163</v>
      </c>
      <c r="C21" s="33">
        <v>2008</v>
      </c>
    </row>
    <row r="22" spans="2:4">
      <c r="B22" s="21" t="s">
        <v>164</v>
      </c>
      <c r="C22" s="37" t="s">
        <v>165</v>
      </c>
    </row>
  </sheetData>
  <conditionalFormatting sqref="F11:F16">
    <cfRule type="expression" dxfId="71" priority="4">
      <formula>$F11&lt;-0.1</formula>
    </cfRule>
    <cfRule type="expression" dxfId="70" priority="5">
      <formula>AND($F11&lt;0,$F11&gt;=-0.1)</formula>
    </cfRule>
    <cfRule type="expression" dxfId="69" priority="6">
      <formula>$F11&gt;=0</formula>
    </cfRule>
  </conditionalFormatting>
  <conditionalFormatting sqref="G11:G16">
    <cfRule type="expression" dxfId="68" priority="1">
      <formula>$F11&lt;-0.1</formula>
    </cfRule>
    <cfRule type="expression" dxfId="67" priority="2">
      <formula>AND($F11&lt;0,$F11&gt;=-0.1)</formula>
    </cfRule>
    <cfRule type="expression" dxfId="66" priority="3">
      <formula>$F11&gt;=0</formula>
    </cfRule>
  </conditionalFormatting>
  <hyperlinks>
    <hyperlink ref="F2" location="Summary!F2" display="Summary"/>
  </hyperlink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85"/>
  <sheetViews>
    <sheetView showGridLines="0" zoomScale="55" zoomScaleNormal="55" workbookViewId="0"/>
  </sheetViews>
  <sheetFormatPr defaultRowHeight="11.4"/>
  <sheetData>
    <row r="2" spans="2:2" ht="28.2">
      <c r="B2" s="75" t="s">
        <v>178</v>
      </c>
    </row>
    <row r="4" spans="2:2" ht="22.8">
      <c r="B4" s="66" t="s">
        <v>179</v>
      </c>
    </row>
    <row r="7" spans="2:2" ht="21">
      <c r="B7" s="68" t="s">
        <v>180</v>
      </c>
    </row>
    <row r="9" spans="2:2" ht="13.8">
      <c r="B9" s="69" t="s">
        <v>219</v>
      </c>
    </row>
    <row r="10" spans="2:2" ht="13.8">
      <c r="B10" s="69" t="s">
        <v>220</v>
      </c>
    </row>
    <row r="13" spans="2:2" ht="21">
      <c r="B13" s="68" t="s">
        <v>181</v>
      </c>
    </row>
    <row r="15" spans="2:2" ht="17.399999999999999">
      <c r="B15" s="74" t="s">
        <v>182</v>
      </c>
    </row>
    <row r="16" spans="2:2">
      <c r="B16" s="67"/>
    </row>
    <row r="17" spans="2:2" ht="13.8">
      <c r="B17" s="72" t="s">
        <v>217</v>
      </c>
    </row>
    <row r="18" spans="2:2" ht="13.8">
      <c r="B18" s="72" t="s">
        <v>218</v>
      </c>
    </row>
    <row r="20" spans="2:2" ht="17.399999999999999">
      <c r="B20" s="74" t="s">
        <v>183</v>
      </c>
    </row>
    <row r="22" spans="2:2" ht="13.8">
      <c r="B22" s="69" t="s">
        <v>184</v>
      </c>
    </row>
    <row r="23" spans="2:2" ht="13.8">
      <c r="B23" s="73" t="s">
        <v>226</v>
      </c>
    </row>
    <row r="25" spans="2:2" ht="17.399999999999999">
      <c r="B25" s="74" t="s">
        <v>185</v>
      </c>
    </row>
    <row r="27" spans="2:2" ht="13.8">
      <c r="B27" s="69" t="s">
        <v>186</v>
      </c>
    </row>
    <row r="28" spans="2:2" ht="13.8">
      <c r="B28" s="73" t="s">
        <v>187</v>
      </c>
    </row>
    <row r="29" spans="2:2" ht="13.8">
      <c r="B29" s="73" t="s">
        <v>188</v>
      </c>
    </row>
    <row r="30" spans="2:2" ht="13.8">
      <c r="B30" s="73" t="s">
        <v>189</v>
      </c>
    </row>
    <row r="31" spans="2:2" ht="13.8">
      <c r="B31" s="73" t="s">
        <v>190</v>
      </c>
    </row>
    <row r="32" spans="2:2" ht="13.8">
      <c r="B32" s="73" t="s">
        <v>191</v>
      </c>
    </row>
    <row r="33" spans="2:2" ht="13.8">
      <c r="B33" s="73" t="s">
        <v>192</v>
      </c>
    </row>
    <row r="34" spans="2:2" ht="13.8">
      <c r="B34" s="73" t="s">
        <v>193</v>
      </c>
    </row>
    <row r="35" spans="2:2" ht="13.8">
      <c r="B35" s="73" t="s">
        <v>194</v>
      </c>
    </row>
    <row r="36" spans="2:2" ht="13.8">
      <c r="B36" s="73" t="s">
        <v>195</v>
      </c>
    </row>
    <row r="37" spans="2:2" ht="13.8">
      <c r="B37" s="73" t="s">
        <v>196</v>
      </c>
    </row>
    <row r="40" spans="2:2" ht="21">
      <c r="B40" s="68" t="s">
        <v>197</v>
      </c>
    </row>
    <row r="42" spans="2:2" ht="17.399999999999999">
      <c r="B42" s="74" t="s">
        <v>221</v>
      </c>
    </row>
    <row r="43" spans="2:2">
      <c r="B43" s="67"/>
    </row>
    <row r="44" spans="2:2" ht="13.8">
      <c r="B44" s="71" t="s">
        <v>198</v>
      </c>
    </row>
    <row r="45" spans="2:2" ht="13.8">
      <c r="B45" s="71" t="s">
        <v>199</v>
      </c>
    </row>
    <row r="46" spans="2:2" ht="13.8">
      <c r="B46" s="71" t="s">
        <v>200</v>
      </c>
    </row>
    <row r="47" spans="2:2" ht="13.8">
      <c r="B47" s="71" t="s">
        <v>223</v>
      </c>
    </row>
    <row r="49" spans="2:2" ht="17.399999999999999">
      <c r="B49" s="74" t="s">
        <v>222</v>
      </c>
    </row>
    <row r="50" spans="2:2">
      <c r="B50" s="67"/>
    </row>
    <row r="51" spans="2:2" ht="13.8">
      <c r="B51" s="71" t="s">
        <v>201</v>
      </c>
    </row>
    <row r="52" spans="2:2" ht="13.8">
      <c r="B52" s="71" t="s">
        <v>202</v>
      </c>
    </row>
    <row r="53" spans="2:2" ht="13.8">
      <c r="B53" s="71" t="s">
        <v>224</v>
      </c>
    </row>
    <row r="55" spans="2:2" ht="17.399999999999999">
      <c r="B55" s="74" t="s">
        <v>225</v>
      </c>
    </row>
    <row r="57" spans="2:2" ht="13.8">
      <c r="B57" s="69" t="s">
        <v>203</v>
      </c>
    </row>
    <row r="58" spans="2:2" ht="13.8">
      <c r="B58" s="73" t="s">
        <v>204</v>
      </c>
    </row>
    <row r="59" spans="2:2" ht="13.8">
      <c r="B59" s="73" t="s">
        <v>205</v>
      </c>
    </row>
    <row r="60" spans="2:2" ht="13.8">
      <c r="B60" s="73" t="s">
        <v>206</v>
      </c>
    </row>
    <row r="63" spans="2:2" ht="17.399999999999999">
      <c r="B63" s="74" t="s">
        <v>227</v>
      </c>
    </row>
    <row r="64" spans="2:2">
      <c r="B64" s="67"/>
    </row>
    <row r="65" spans="2:2" ht="13.8">
      <c r="B65" s="72" t="s">
        <v>228</v>
      </c>
    </row>
    <row r="66" spans="2:2" ht="13.8">
      <c r="B66" s="72" t="s">
        <v>229</v>
      </c>
    </row>
    <row r="67" spans="2:2" ht="13.8">
      <c r="B67" s="72" t="s">
        <v>230</v>
      </c>
    </row>
    <row r="68" spans="2:2" ht="13.8">
      <c r="B68" s="72" t="s">
        <v>216</v>
      </c>
    </row>
    <row r="72" spans="2:2" ht="21">
      <c r="B72" s="68" t="s">
        <v>207</v>
      </c>
    </row>
    <row r="74" spans="2:2" ht="13.8">
      <c r="B74" s="70" t="s">
        <v>210</v>
      </c>
    </row>
    <row r="75" spans="2:2" ht="13.8">
      <c r="B75" s="70" t="s">
        <v>211</v>
      </c>
    </row>
    <row r="76" spans="2:2" ht="13.8">
      <c r="B76" s="70" t="s">
        <v>212</v>
      </c>
    </row>
    <row r="77" spans="2:2" ht="13.8">
      <c r="B77" s="70" t="s">
        <v>213</v>
      </c>
    </row>
    <row r="78" spans="2:2" ht="13.8">
      <c r="B78" s="70" t="s">
        <v>214</v>
      </c>
    </row>
    <row r="79" spans="2:2" ht="13.8">
      <c r="B79" s="70" t="s">
        <v>215</v>
      </c>
    </row>
    <row r="83" spans="2:2" ht="21">
      <c r="B83" s="68" t="s">
        <v>208</v>
      </c>
    </row>
    <row r="85" spans="2:2" ht="13.8">
      <c r="B85" s="69" t="s">
        <v>209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zoomScaleNormal="100" workbookViewId="0">
      <selection activeCell="J4" sqref="J4"/>
    </sheetView>
  </sheetViews>
  <sheetFormatPr defaultColWidth="6" defaultRowHeight="13.8"/>
  <cols>
    <col min="1" max="1" width="3.5" style="12" customWidth="1"/>
    <col min="2" max="2" width="10.125" style="12" customWidth="1"/>
    <col min="3" max="3" width="24.875" style="12" customWidth="1"/>
    <col min="4" max="5" width="14.625" style="12" bestFit="1" customWidth="1"/>
    <col min="6" max="6" width="12.625" style="12" customWidth="1"/>
    <col min="7" max="7" width="7.875" style="12" bestFit="1" customWidth="1"/>
    <col min="8" max="8" width="7" style="12" customWidth="1"/>
    <col min="9" max="9" width="6" style="12"/>
    <col min="10" max="10" width="43.75" style="12" customWidth="1"/>
    <col min="11" max="16384" width="6" style="12"/>
  </cols>
  <sheetData>
    <row r="2" spans="2:10" ht="21">
      <c r="B2" s="11" t="s">
        <v>11</v>
      </c>
    </row>
    <row r="3" spans="2:10">
      <c r="B3" s="13" t="s">
        <v>12</v>
      </c>
    </row>
    <row r="5" spans="2:10">
      <c r="B5" s="38" t="s">
        <v>13</v>
      </c>
      <c r="C5" s="39"/>
      <c r="D5" s="39"/>
      <c r="E5" s="39"/>
      <c r="F5" s="39"/>
      <c r="G5" s="39"/>
      <c r="H5" s="39"/>
    </row>
    <row r="6" spans="2:10">
      <c r="B6" s="40" t="s">
        <v>14</v>
      </c>
      <c r="C6" s="40" t="s">
        <v>15</v>
      </c>
      <c r="D6" s="40" t="s">
        <v>16</v>
      </c>
      <c r="E6" s="40" t="s">
        <v>17</v>
      </c>
      <c r="F6" s="40" t="s">
        <v>18</v>
      </c>
      <c r="G6" s="40" t="s">
        <v>19</v>
      </c>
      <c r="H6" s="40" t="s">
        <v>20</v>
      </c>
    </row>
    <row r="7" spans="2:10" ht="69">
      <c r="B7" s="60" t="s">
        <v>21</v>
      </c>
      <c r="C7" s="17" t="s">
        <v>22</v>
      </c>
      <c r="D7" s="18">
        <f>'CC-1000'!C21</f>
        <v>4500000</v>
      </c>
      <c r="E7" s="18">
        <f>'CC-1000'!D21</f>
        <v>4433679</v>
      </c>
      <c r="F7" s="18">
        <f t="shared" ref="F7:F17" si="0">E7-D7</f>
        <v>-66321</v>
      </c>
      <c r="G7" s="19">
        <f t="shared" ref="G7:G17" si="1">IF(D7=0,0,(E7-D7)/D7)</f>
        <v>-1.4737999999999999E-2</v>
      </c>
      <c r="H7" s="20" t="s">
        <v>43</v>
      </c>
      <c r="J7" s="77" t="s">
        <v>232</v>
      </c>
    </row>
    <row r="8" spans="2:10" ht="15">
      <c r="B8" s="60" t="s">
        <v>23</v>
      </c>
      <c r="C8" s="17" t="s">
        <v>24</v>
      </c>
      <c r="D8" s="18">
        <f>'CC-1100'!C21</f>
        <v>1200000</v>
      </c>
      <c r="E8" s="18">
        <f>'CC-1100'!D21</f>
        <v>1184834</v>
      </c>
      <c r="F8" s="18">
        <f t="shared" si="0"/>
        <v>-15166</v>
      </c>
      <c r="G8" s="19">
        <f t="shared" si="1"/>
        <v>-1.2638333333333333E-2</v>
      </c>
      <c r="H8" s="20" t="s">
        <v>43</v>
      </c>
    </row>
    <row r="9" spans="2:10" ht="15">
      <c r="B9" s="59" t="s">
        <v>25</v>
      </c>
      <c r="C9" s="17" t="s">
        <v>26</v>
      </c>
      <c r="D9" s="18">
        <f>'CC-2000'!C21</f>
        <v>3200000</v>
      </c>
      <c r="E9" s="18">
        <f>'CC-2000'!D21</f>
        <v>3203927</v>
      </c>
      <c r="F9" s="18">
        <f t="shared" si="0"/>
        <v>3927</v>
      </c>
      <c r="G9" s="19">
        <f t="shared" si="1"/>
        <v>1.2271875E-3</v>
      </c>
      <c r="H9" s="20" t="s">
        <v>43</v>
      </c>
    </row>
    <row r="10" spans="2:10" ht="15">
      <c r="B10" s="59" t="s">
        <v>27</v>
      </c>
      <c r="C10" s="17" t="s">
        <v>28</v>
      </c>
      <c r="D10" s="18">
        <f>'CC-2100'!C21</f>
        <v>2800000</v>
      </c>
      <c r="E10" s="18">
        <f>'CC-2100'!D21</f>
        <v>2813396</v>
      </c>
      <c r="F10" s="18">
        <f t="shared" si="0"/>
        <v>13396</v>
      </c>
      <c r="G10" s="19">
        <f t="shared" si="1"/>
        <v>4.784285714285714E-3</v>
      </c>
      <c r="H10" s="20" t="s">
        <v>43</v>
      </c>
    </row>
    <row r="11" spans="2:10" ht="15">
      <c r="B11" s="59" t="s">
        <v>29</v>
      </c>
      <c r="C11" s="17" t="s">
        <v>30</v>
      </c>
      <c r="D11" s="18">
        <f>'CC-3000'!C21</f>
        <v>1800000</v>
      </c>
      <c r="E11" s="18">
        <f>'CC-3000'!D21</f>
        <v>1784468</v>
      </c>
      <c r="F11" s="18">
        <f t="shared" si="0"/>
        <v>-15532</v>
      </c>
      <c r="G11" s="19">
        <f t="shared" si="1"/>
        <v>-8.6288888888888891E-3</v>
      </c>
      <c r="H11" s="20" t="s">
        <v>43</v>
      </c>
    </row>
    <row r="12" spans="2:10" ht="15">
      <c r="B12" s="59" t="s">
        <v>31</v>
      </c>
      <c r="C12" s="17" t="s">
        <v>32</v>
      </c>
      <c r="D12" s="18">
        <f>'CC-3100'!C21</f>
        <v>1500000</v>
      </c>
      <c r="E12" s="18">
        <f>'CC-3100'!D21</f>
        <v>1476705</v>
      </c>
      <c r="F12" s="18">
        <f t="shared" si="0"/>
        <v>-23295</v>
      </c>
      <c r="G12" s="19">
        <f t="shared" si="1"/>
        <v>-1.553E-2</v>
      </c>
      <c r="H12" s="20" t="s">
        <v>43</v>
      </c>
    </row>
    <row r="13" spans="2:10" ht="15">
      <c r="B13" s="59" t="s">
        <v>33</v>
      </c>
      <c r="C13" s="17" t="s">
        <v>34</v>
      </c>
      <c r="D13" s="18">
        <f>'CC-3200'!C21</f>
        <v>3500000</v>
      </c>
      <c r="E13" s="18">
        <f>'CC-3200'!D21</f>
        <v>4402676</v>
      </c>
      <c r="F13" s="18">
        <f t="shared" si="0"/>
        <v>902676</v>
      </c>
      <c r="G13" s="19">
        <f t="shared" si="1"/>
        <v>0.25790742857142857</v>
      </c>
      <c r="H13" s="20" t="s">
        <v>43</v>
      </c>
    </row>
    <row r="14" spans="2:10" ht="15">
      <c r="B14" s="59" t="s">
        <v>35</v>
      </c>
      <c r="C14" s="17" t="s">
        <v>36</v>
      </c>
      <c r="D14" s="18">
        <f>'CC-3300'!C21</f>
        <v>1400000</v>
      </c>
      <c r="E14" s="18">
        <f>'CC-3300'!D21</f>
        <v>1424744</v>
      </c>
      <c r="F14" s="18">
        <f t="shared" si="0"/>
        <v>24744</v>
      </c>
      <c r="G14" s="19">
        <f t="shared" si="1"/>
        <v>1.7674285714285715E-2</v>
      </c>
      <c r="H14" s="20" t="s">
        <v>43</v>
      </c>
    </row>
    <row r="15" spans="2:10" ht="15">
      <c r="B15" s="59" t="s">
        <v>37</v>
      </c>
      <c r="C15" s="17" t="s">
        <v>38</v>
      </c>
      <c r="D15" s="18">
        <f>'CC-4000'!C21</f>
        <v>2200000</v>
      </c>
      <c r="E15" s="18">
        <f>'CC-4000'!D21</f>
        <v>2213126</v>
      </c>
      <c r="F15" s="18">
        <f t="shared" si="0"/>
        <v>13126</v>
      </c>
      <c r="G15" s="19">
        <f t="shared" si="1"/>
        <v>5.966363636363636E-3</v>
      </c>
      <c r="H15" s="20" t="s">
        <v>43</v>
      </c>
    </row>
    <row r="16" spans="2:10" ht="15">
      <c r="B16" s="59" t="s">
        <v>39</v>
      </c>
      <c r="C16" s="17" t="s">
        <v>40</v>
      </c>
      <c r="D16" s="18">
        <f>'CC-5000'!C21</f>
        <v>2400000</v>
      </c>
      <c r="E16" s="18">
        <f>'CC-5000'!D21</f>
        <v>2417248</v>
      </c>
      <c r="F16" s="18">
        <f t="shared" si="0"/>
        <v>17248</v>
      </c>
      <c r="G16" s="19">
        <f t="shared" si="1"/>
        <v>7.1866666666666667E-3</v>
      </c>
      <c r="H16" s="20" t="s">
        <v>43</v>
      </c>
    </row>
    <row r="17" spans="2:8" ht="15">
      <c r="B17" s="42" t="s">
        <v>41</v>
      </c>
      <c r="C17" s="41"/>
      <c r="D17" s="58">
        <f>SUM(D7:D16)</f>
        <v>24500000</v>
      </c>
      <c r="E17" s="58">
        <f>SUM(E7:E16)</f>
        <v>25354803</v>
      </c>
      <c r="F17" s="58">
        <f t="shared" si="0"/>
        <v>854803</v>
      </c>
      <c r="G17" s="22">
        <f t="shared" si="1"/>
        <v>3.4889918367346937E-2</v>
      </c>
      <c r="H17" s="20" t="s">
        <v>43</v>
      </c>
    </row>
    <row r="19" spans="2:8">
      <c r="B19" s="23" t="s">
        <v>42</v>
      </c>
    </row>
    <row r="20" spans="2:8" ht="15">
      <c r="B20" s="24" t="s">
        <v>43</v>
      </c>
      <c r="C20" s="25" t="s">
        <v>44</v>
      </c>
    </row>
    <row r="21" spans="2:8" ht="15">
      <c r="B21" s="26" t="s">
        <v>43</v>
      </c>
      <c r="C21" s="25" t="s">
        <v>45</v>
      </c>
    </row>
    <row r="22" spans="2:8" ht="15">
      <c r="B22" s="27" t="s">
        <v>43</v>
      </c>
      <c r="C22" s="25" t="s">
        <v>46</v>
      </c>
    </row>
  </sheetData>
  <conditionalFormatting sqref="G7:G17">
    <cfRule type="expression" dxfId="65" priority="4">
      <formula>$G7&gt;0.1</formula>
    </cfRule>
    <cfRule type="expression" dxfId="64" priority="5">
      <formula>AND($G7&gt;0,$G7&lt;=0.1)</formula>
    </cfRule>
    <cfRule type="expression" dxfId="63" priority="6">
      <formula>$G7&lt;=0</formula>
    </cfRule>
  </conditionalFormatting>
  <conditionalFormatting sqref="H7:H17">
    <cfRule type="expression" dxfId="62" priority="1">
      <formula>$G7&gt;0.1</formula>
    </cfRule>
    <cfRule type="expression" dxfId="61" priority="2">
      <formula>AND($G7&gt;0,$G7&lt;=0.1)</formula>
    </cfRule>
    <cfRule type="expression" dxfId="60" priority="3">
      <formula>$G7&lt;=0</formula>
    </cfRule>
  </conditionalFormatting>
  <hyperlinks>
    <hyperlink ref="B7" location="'CC-1000'!B2" display="CC-1000"/>
    <hyperlink ref="B9" location="'CC-2000'!A1" display="CC-2000"/>
    <hyperlink ref="B10" location="'CC-2100'!A1" display="CC-2100"/>
    <hyperlink ref="B11" location="'CC-3000'!A1" display="CC-3000"/>
    <hyperlink ref="B12" location="'CC-3100'!A1" display="CC-3100"/>
    <hyperlink ref="B13" location="'CC-3200'!A1" display="CC-3200"/>
    <hyperlink ref="B14" location="'CC-3300'!A1" display="CC-3300"/>
    <hyperlink ref="B15" location="'CC-4000'!A1" display="CC-4000"/>
    <hyperlink ref="B16" location="'CC-5000'!A1" display="CC-5000"/>
    <hyperlink ref="B8" location="'CC-1100'!A1" display="CC-1100"/>
  </hyperlink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7"/>
  <sheetViews>
    <sheetView showGridLines="0" topLeftCell="A2" zoomScaleNormal="100" workbookViewId="0">
      <selection activeCell="H2" sqref="H2"/>
    </sheetView>
  </sheetViews>
  <sheetFormatPr defaultColWidth="6" defaultRowHeight="13.8"/>
  <cols>
    <col min="1" max="1" width="3.5" style="12" customWidth="1"/>
    <col min="2" max="2" width="23.625" style="12" customWidth="1"/>
    <col min="3" max="3" width="13.375" style="12" customWidth="1"/>
    <col min="4" max="4" width="13.375" style="12" bestFit="1" customWidth="1"/>
    <col min="5" max="5" width="11.375" style="12" bestFit="1" customWidth="1"/>
    <col min="6" max="7" width="11.125" style="12" bestFit="1" customWidth="1"/>
    <col min="8" max="8" width="21.75" style="12" bestFit="1" customWidth="1"/>
    <col min="9" max="9" width="57.5" style="12" customWidth="1"/>
    <col min="10" max="14" width="11.125" style="12" bestFit="1" customWidth="1"/>
    <col min="15" max="15" width="13.5" style="12" bestFit="1" customWidth="1"/>
    <col min="16" max="16384" width="6" style="12"/>
  </cols>
  <sheetData>
    <row r="1" spans="2:15" ht="10.5" customHeight="1"/>
    <row r="2" spans="2:15" ht="57">
      <c r="B2" s="11" t="s">
        <v>47</v>
      </c>
      <c r="G2" s="61"/>
      <c r="H2" s="61" t="s">
        <v>236</v>
      </c>
      <c r="I2" s="77" t="s">
        <v>234</v>
      </c>
    </row>
    <row r="3" spans="2:15">
      <c r="B3" s="13" t="s">
        <v>48</v>
      </c>
    </row>
    <row r="5" spans="2:15">
      <c r="B5" s="14" t="s">
        <v>49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2:15">
      <c r="B6" s="16"/>
      <c r="C6" s="16" t="s">
        <v>50</v>
      </c>
      <c r="D6" s="16" t="s">
        <v>51</v>
      </c>
      <c r="E6" s="16" t="s">
        <v>52</v>
      </c>
      <c r="F6" s="16" t="s">
        <v>53</v>
      </c>
      <c r="G6" s="16" t="s">
        <v>54</v>
      </c>
      <c r="H6" s="16" t="s">
        <v>55</v>
      </c>
      <c r="I6" s="16" t="s">
        <v>56</v>
      </c>
      <c r="J6" s="16" t="s">
        <v>57</v>
      </c>
      <c r="K6" s="16" t="s">
        <v>58</v>
      </c>
      <c r="L6" s="16" t="s">
        <v>59</v>
      </c>
      <c r="M6" s="16" t="s">
        <v>60</v>
      </c>
      <c r="N6" s="16" t="s">
        <v>61</v>
      </c>
      <c r="O6" s="16" t="s">
        <v>62</v>
      </c>
    </row>
    <row r="7" spans="2:15">
      <c r="B7" s="28" t="s">
        <v>63</v>
      </c>
      <c r="C7" s="18">
        <v>64928</v>
      </c>
      <c r="D7" s="18">
        <v>65711</v>
      </c>
      <c r="E7" s="18">
        <v>72912</v>
      </c>
      <c r="F7" s="18">
        <v>66173</v>
      </c>
      <c r="G7" s="18">
        <v>84026</v>
      </c>
      <c r="H7" s="18">
        <v>64608</v>
      </c>
      <c r="I7" s="18">
        <v>75814</v>
      </c>
      <c r="J7" s="18">
        <v>71224</v>
      </c>
      <c r="K7" s="18">
        <v>82921</v>
      </c>
      <c r="L7" s="18">
        <v>67342</v>
      </c>
      <c r="M7" s="18">
        <v>71337</v>
      </c>
      <c r="N7" s="18">
        <v>71260</v>
      </c>
      <c r="O7" s="64">
        <f>SUM(C7:N7)</f>
        <v>858256</v>
      </c>
    </row>
    <row r="8" spans="2:15">
      <c r="B8" s="28" t="s">
        <v>64</v>
      </c>
      <c r="C8" s="18">
        <v>69266</v>
      </c>
      <c r="D8" s="18">
        <v>63787</v>
      </c>
      <c r="E8" s="18">
        <v>73566</v>
      </c>
      <c r="F8" s="18">
        <v>65721</v>
      </c>
      <c r="G8" s="18">
        <v>77195</v>
      </c>
      <c r="H8" s="18">
        <v>65322</v>
      </c>
      <c r="I8" s="18">
        <v>70847</v>
      </c>
      <c r="J8" s="18">
        <v>73837</v>
      </c>
      <c r="K8" s="18">
        <v>84121</v>
      </c>
      <c r="L8" s="18">
        <v>65837</v>
      </c>
      <c r="M8" s="18">
        <v>66948</v>
      </c>
      <c r="N8" s="18">
        <v>81526</v>
      </c>
      <c r="O8" s="64">
        <f>SUM(C8:N8)</f>
        <v>857973</v>
      </c>
    </row>
    <row r="9" spans="2:15">
      <c r="B9" s="28" t="s">
        <v>65</v>
      </c>
      <c r="C9" s="18">
        <v>64227</v>
      </c>
      <c r="D9" s="18">
        <v>84250</v>
      </c>
      <c r="E9" s="18">
        <v>76651</v>
      </c>
      <c r="F9" s="18">
        <v>69719</v>
      </c>
      <c r="G9" s="18">
        <v>82601</v>
      </c>
      <c r="H9" s="18">
        <v>81047</v>
      </c>
      <c r="I9" s="18">
        <v>71477</v>
      </c>
      <c r="J9" s="18">
        <v>81783</v>
      </c>
      <c r="K9" s="18">
        <v>68404</v>
      </c>
      <c r="L9" s="18">
        <v>77450</v>
      </c>
      <c r="M9" s="18">
        <v>75609</v>
      </c>
      <c r="N9" s="18">
        <v>81960</v>
      </c>
      <c r="O9" s="64">
        <f>SUM(C9:N9)</f>
        <v>915178</v>
      </c>
    </row>
    <row r="10" spans="2:15">
      <c r="B10" s="28" t="s">
        <v>66</v>
      </c>
      <c r="C10" s="18">
        <v>70843</v>
      </c>
      <c r="D10" s="18">
        <v>72710</v>
      </c>
      <c r="E10" s="18">
        <v>81058</v>
      </c>
      <c r="F10" s="18">
        <v>75286</v>
      </c>
      <c r="G10" s="18">
        <v>79158</v>
      </c>
      <c r="H10" s="18">
        <v>78112</v>
      </c>
      <c r="I10" s="18">
        <v>78749</v>
      </c>
      <c r="J10" s="18">
        <v>83777</v>
      </c>
      <c r="K10" s="18">
        <v>74688</v>
      </c>
      <c r="L10" s="18">
        <v>78790</v>
      </c>
      <c r="M10" s="18">
        <v>72176</v>
      </c>
      <c r="N10" s="18">
        <v>64466</v>
      </c>
      <c r="O10" s="64">
        <f>SUM(C10:N10)</f>
        <v>909813</v>
      </c>
    </row>
    <row r="11" spans="2:15">
      <c r="B11" s="28" t="s">
        <v>67</v>
      </c>
      <c r="C11" s="18">
        <v>80718</v>
      </c>
      <c r="D11" s="18">
        <v>67832</v>
      </c>
      <c r="E11" s="18">
        <v>82204</v>
      </c>
      <c r="F11" s="18">
        <v>84307</v>
      </c>
      <c r="G11" s="18">
        <v>78556</v>
      </c>
      <c r="H11" s="18">
        <v>67577</v>
      </c>
      <c r="I11" s="18">
        <v>71330</v>
      </c>
      <c r="J11" s="18">
        <v>72551</v>
      </c>
      <c r="K11" s="18">
        <v>65399</v>
      </c>
      <c r="L11" s="18">
        <v>74027</v>
      </c>
      <c r="M11" s="18">
        <v>76646</v>
      </c>
      <c r="N11" s="18">
        <v>71312</v>
      </c>
      <c r="O11" s="64">
        <f>SUM(C11:N11)</f>
        <v>892459</v>
      </c>
    </row>
    <row r="12" spans="2:15">
      <c r="B12" s="21" t="s">
        <v>68</v>
      </c>
      <c r="C12" s="64">
        <f>SUM(C7:C11)</f>
        <v>349982</v>
      </c>
      <c r="D12" s="64">
        <f t="shared" ref="D12:O12" si="0">SUM(D7:D11)</f>
        <v>354290</v>
      </c>
      <c r="E12" s="64">
        <f t="shared" si="0"/>
        <v>386391</v>
      </c>
      <c r="F12" s="64">
        <f t="shared" si="0"/>
        <v>361206</v>
      </c>
      <c r="G12" s="64">
        <f t="shared" si="0"/>
        <v>401536</v>
      </c>
      <c r="H12" s="64">
        <f t="shared" si="0"/>
        <v>356666</v>
      </c>
      <c r="I12" s="64">
        <f t="shared" si="0"/>
        <v>368217</v>
      </c>
      <c r="J12" s="64">
        <f t="shared" si="0"/>
        <v>383172</v>
      </c>
      <c r="K12" s="64">
        <f t="shared" si="0"/>
        <v>375533</v>
      </c>
      <c r="L12" s="64">
        <f t="shared" si="0"/>
        <v>363446</v>
      </c>
      <c r="M12" s="64">
        <f t="shared" si="0"/>
        <v>362716</v>
      </c>
      <c r="N12" s="64">
        <f t="shared" si="0"/>
        <v>370524</v>
      </c>
      <c r="O12" s="65">
        <f t="shared" si="0"/>
        <v>4433679</v>
      </c>
    </row>
    <row r="14" spans="2:15">
      <c r="B14" s="14" t="s">
        <v>69</v>
      </c>
      <c r="C14" s="15"/>
      <c r="D14" s="15"/>
      <c r="E14" s="15"/>
      <c r="F14" s="15"/>
      <c r="G14" s="15"/>
    </row>
    <row r="15" spans="2:15">
      <c r="B15" s="16" t="s">
        <v>70</v>
      </c>
      <c r="C15" s="16" t="s">
        <v>16</v>
      </c>
      <c r="D15" s="16" t="s">
        <v>17</v>
      </c>
      <c r="E15" s="16" t="s">
        <v>18</v>
      </c>
      <c r="F15" s="16" t="s">
        <v>19</v>
      </c>
      <c r="G15" s="16" t="s">
        <v>20</v>
      </c>
    </row>
    <row r="16" spans="2:15" ht="15">
      <c r="B16" s="17" t="s">
        <v>63</v>
      </c>
      <c r="C16" s="18">
        <v>900000</v>
      </c>
      <c r="D16" s="18">
        <f>O7</f>
        <v>858256</v>
      </c>
      <c r="E16" s="18">
        <f t="shared" ref="E16:E21" si="1">D16-C16</f>
        <v>-41744</v>
      </c>
      <c r="F16" s="19">
        <f t="shared" ref="F16:F21" si="2">IF(C16=0,0,(D16-C16)/C16)</f>
        <v>-4.6382222222222221E-2</v>
      </c>
      <c r="G16" s="30" t="s">
        <v>43</v>
      </c>
    </row>
    <row r="17" spans="2:7" ht="15">
      <c r="B17" s="17" t="s">
        <v>64</v>
      </c>
      <c r="C17" s="18">
        <v>900000</v>
      </c>
      <c r="D17" s="18">
        <f>O8</f>
        <v>857973</v>
      </c>
      <c r="E17" s="18">
        <f t="shared" si="1"/>
        <v>-42027</v>
      </c>
      <c r="F17" s="19">
        <f t="shared" si="2"/>
        <v>-4.6696666666666664E-2</v>
      </c>
      <c r="G17" s="30" t="s">
        <v>43</v>
      </c>
    </row>
    <row r="18" spans="2:7" ht="15">
      <c r="B18" s="17" t="s">
        <v>65</v>
      </c>
      <c r="C18" s="18">
        <v>900000</v>
      </c>
      <c r="D18" s="18">
        <f>O9</f>
        <v>915178</v>
      </c>
      <c r="E18" s="18">
        <f t="shared" si="1"/>
        <v>15178</v>
      </c>
      <c r="F18" s="19">
        <f t="shared" si="2"/>
        <v>1.6864444444444446E-2</v>
      </c>
      <c r="G18" s="30" t="s">
        <v>43</v>
      </c>
    </row>
    <row r="19" spans="2:7" ht="15">
      <c r="B19" s="17" t="s">
        <v>66</v>
      </c>
      <c r="C19" s="18">
        <v>900000</v>
      </c>
      <c r="D19" s="18">
        <f>O10</f>
        <v>909813</v>
      </c>
      <c r="E19" s="18">
        <f t="shared" si="1"/>
        <v>9813</v>
      </c>
      <c r="F19" s="19">
        <f t="shared" si="2"/>
        <v>1.0903333333333333E-2</v>
      </c>
      <c r="G19" s="30" t="s">
        <v>43</v>
      </c>
    </row>
    <row r="20" spans="2:7" ht="15">
      <c r="B20" s="17" t="s">
        <v>67</v>
      </c>
      <c r="C20" s="18">
        <v>900000</v>
      </c>
      <c r="D20" s="18">
        <f>O11</f>
        <v>892459</v>
      </c>
      <c r="E20" s="18">
        <f t="shared" si="1"/>
        <v>-7541</v>
      </c>
      <c r="F20" s="19">
        <f t="shared" si="2"/>
        <v>-8.3788888888888888E-3</v>
      </c>
      <c r="G20" s="30" t="s">
        <v>43</v>
      </c>
    </row>
    <row r="21" spans="2:7" ht="15">
      <c r="B21" s="21" t="s">
        <v>68</v>
      </c>
      <c r="C21" s="64">
        <f>SUM(C16:C20)</f>
        <v>4500000</v>
      </c>
      <c r="D21" s="64">
        <f>SUM(D16:D20)</f>
        <v>4433679</v>
      </c>
      <c r="E21" s="64">
        <f t="shared" si="1"/>
        <v>-66321</v>
      </c>
      <c r="F21" s="22">
        <f t="shared" si="2"/>
        <v>-1.4737999999999999E-2</v>
      </c>
      <c r="G21" s="30" t="s">
        <v>43</v>
      </c>
    </row>
    <row r="23" spans="2:7">
      <c r="B23" s="14" t="s">
        <v>71</v>
      </c>
      <c r="C23" s="15"/>
      <c r="D23" s="15"/>
    </row>
    <row r="24" spans="2:7">
      <c r="B24" s="21" t="s">
        <v>72</v>
      </c>
      <c r="C24" s="31" t="s">
        <v>73</v>
      </c>
    </row>
    <row r="25" spans="2:7">
      <c r="B25" s="21" t="s">
        <v>74</v>
      </c>
      <c r="C25" s="31" t="s">
        <v>22</v>
      </c>
    </row>
    <row r="26" spans="2:7">
      <c r="B26" s="21" t="s">
        <v>75</v>
      </c>
      <c r="C26" s="32">
        <v>285</v>
      </c>
    </row>
    <row r="27" spans="2:7">
      <c r="B27" s="21" t="s">
        <v>76</v>
      </c>
      <c r="C27" s="31" t="s">
        <v>77</v>
      </c>
    </row>
  </sheetData>
  <conditionalFormatting sqref="F16:F21">
    <cfRule type="expression" dxfId="59" priority="4">
      <formula>$F16&gt;0.1</formula>
    </cfRule>
    <cfRule type="expression" dxfId="58" priority="5">
      <formula>AND($F16&gt;0,$F16&lt;=0.1)</formula>
    </cfRule>
    <cfRule type="expression" dxfId="57" priority="6">
      <formula>$F16&lt;=0</formula>
    </cfRule>
  </conditionalFormatting>
  <conditionalFormatting sqref="G16:G21">
    <cfRule type="expression" dxfId="56" priority="1">
      <formula>$F16&gt;0.1</formula>
    </cfRule>
    <cfRule type="expression" dxfId="55" priority="2">
      <formula>AND($F16&gt;0,$F16&lt;=0.1)</formula>
    </cfRule>
    <cfRule type="expression" dxfId="54" priority="3">
      <formula>$F16&lt;=0</formula>
    </cfRule>
  </conditionalFormatting>
  <hyperlinks>
    <hyperlink ref="H2" location="'Cost Center Summary'!A1" display="🏠 Summary"/>
  </hyperlink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7"/>
  <sheetViews>
    <sheetView showGridLines="0" zoomScaleNormal="100" workbookViewId="0">
      <selection activeCell="H2" sqref="H2"/>
    </sheetView>
  </sheetViews>
  <sheetFormatPr defaultColWidth="6" defaultRowHeight="13.8"/>
  <cols>
    <col min="1" max="1" width="3.5" style="12" customWidth="1"/>
    <col min="2" max="2" width="23.625" style="12" customWidth="1"/>
    <col min="3" max="3" width="13.375" style="12" customWidth="1"/>
    <col min="4" max="4" width="13.375" style="12" bestFit="1" customWidth="1"/>
    <col min="5" max="5" width="11" style="12" bestFit="1" customWidth="1"/>
    <col min="6" max="6" width="10" style="12" bestFit="1" customWidth="1"/>
    <col min="7" max="7" width="11.125" style="12" bestFit="1" customWidth="1"/>
    <col min="8" max="8" width="21.75" style="12" bestFit="1" customWidth="1"/>
    <col min="9" max="11" width="10" style="12" bestFit="1" customWidth="1"/>
    <col min="12" max="14" width="11.125" style="12" bestFit="1" customWidth="1"/>
    <col min="15" max="15" width="13.5" style="12" bestFit="1" customWidth="1"/>
    <col min="16" max="16384" width="6" style="12"/>
  </cols>
  <sheetData>
    <row r="2" spans="2:15" ht="21">
      <c r="B2" s="11" t="s">
        <v>78</v>
      </c>
      <c r="H2" s="61" t="s">
        <v>236</v>
      </c>
    </row>
    <row r="3" spans="2:15">
      <c r="B3" s="13" t="s">
        <v>48</v>
      </c>
    </row>
    <row r="5" spans="2:15">
      <c r="B5" s="14" t="s">
        <v>49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2:15">
      <c r="B6" s="16"/>
      <c r="C6" s="16" t="s">
        <v>50</v>
      </c>
      <c r="D6" s="16" t="s">
        <v>51</v>
      </c>
      <c r="E6" s="16" t="s">
        <v>52</v>
      </c>
      <c r="F6" s="16" t="s">
        <v>53</v>
      </c>
      <c r="G6" s="16" t="s">
        <v>54</v>
      </c>
      <c r="H6" s="16" t="s">
        <v>55</v>
      </c>
      <c r="I6" s="16" t="s">
        <v>56</v>
      </c>
      <c r="J6" s="16" t="s">
        <v>57</v>
      </c>
      <c r="K6" s="16" t="s">
        <v>58</v>
      </c>
      <c r="L6" s="16" t="s">
        <v>59</v>
      </c>
      <c r="M6" s="16" t="s">
        <v>60</v>
      </c>
      <c r="N6" s="16" t="s">
        <v>61</v>
      </c>
      <c r="O6" s="16" t="s">
        <v>62</v>
      </c>
    </row>
    <row r="7" spans="2:15">
      <c r="B7" s="28" t="s">
        <v>79</v>
      </c>
      <c r="C7" s="18">
        <v>18134</v>
      </c>
      <c r="D7" s="18">
        <v>17528</v>
      </c>
      <c r="E7" s="18">
        <v>20769</v>
      </c>
      <c r="F7" s="18">
        <v>17076</v>
      </c>
      <c r="G7" s="18">
        <v>19111</v>
      </c>
      <c r="H7" s="18">
        <v>18374</v>
      </c>
      <c r="I7" s="18">
        <v>20191</v>
      </c>
      <c r="J7" s="18">
        <v>21341</v>
      </c>
      <c r="K7" s="18">
        <v>22454</v>
      </c>
      <c r="L7" s="18">
        <v>20832</v>
      </c>
      <c r="M7" s="18">
        <v>22950</v>
      </c>
      <c r="N7" s="18">
        <v>22784</v>
      </c>
      <c r="O7" s="64">
        <f>SUM(C7:N7)</f>
        <v>241544</v>
      </c>
    </row>
    <row r="8" spans="2:15">
      <c r="B8" s="28" t="s">
        <v>80</v>
      </c>
      <c r="C8" s="18">
        <v>20779</v>
      </c>
      <c r="D8" s="18">
        <v>18400</v>
      </c>
      <c r="E8" s="18">
        <v>19902</v>
      </c>
      <c r="F8" s="18">
        <v>18065</v>
      </c>
      <c r="G8" s="18">
        <v>22951</v>
      </c>
      <c r="H8" s="18">
        <v>19666</v>
      </c>
      <c r="I8" s="18">
        <v>21509</v>
      </c>
      <c r="J8" s="18">
        <v>17264</v>
      </c>
      <c r="K8" s="18">
        <v>17808</v>
      </c>
      <c r="L8" s="18">
        <v>18159</v>
      </c>
      <c r="M8" s="18">
        <v>18538</v>
      </c>
      <c r="N8" s="18">
        <v>19112</v>
      </c>
      <c r="O8" s="64">
        <f>SUM(C8:N8)</f>
        <v>232153</v>
      </c>
    </row>
    <row r="9" spans="2:15">
      <c r="B9" s="28" t="s">
        <v>81</v>
      </c>
      <c r="C9" s="18">
        <v>18631</v>
      </c>
      <c r="D9" s="18">
        <v>19605</v>
      </c>
      <c r="E9" s="18">
        <v>19522</v>
      </c>
      <c r="F9" s="18">
        <v>17651</v>
      </c>
      <c r="G9" s="18">
        <v>17375</v>
      </c>
      <c r="H9" s="18">
        <v>19130</v>
      </c>
      <c r="I9" s="18">
        <v>17532</v>
      </c>
      <c r="J9" s="18">
        <v>19599</v>
      </c>
      <c r="K9" s="18">
        <v>17051</v>
      </c>
      <c r="L9" s="18">
        <v>20214</v>
      </c>
      <c r="M9" s="18">
        <v>17440</v>
      </c>
      <c r="N9" s="18">
        <v>21165</v>
      </c>
      <c r="O9" s="64">
        <f>SUM(C9:N9)</f>
        <v>224915</v>
      </c>
    </row>
    <row r="10" spans="2:15">
      <c r="B10" s="28" t="s">
        <v>82</v>
      </c>
      <c r="C10" s="18">
        <v>19425</v>
      </c>
      <c r="D10" s="18">
        <v>22912</v>
      </c>
      <c r="E10" s="18">
        <v>18575</v>
      </c>
      <c r="F10" s="18">
        <v>19835</v>
      </c>
      <c r="G10" s="18">
        <v>21504</v>
      </c>
      <c r="H10" s="18">
        <v>19008</v>
      </c>
      <c r="I10" s="18">
        <v>19090</v>
      </c>
      <c r="J10" s="18">
        <v>20834</v>
      </c>
      <c r="K10" s="18">
        <v>22818</v>
      </c>
      <c r="L10" s="18">
        <v>22303</v>
      </c>
      <c r="M10" s="18">
        <v>19514</v>
      </c>
      <c r="N10" s="18">
        <v>21306</v>
      </c>
      <c r="O10" s="64">
        <f>SUM(C10:N10)</f>
        <v>247124</v>
      </c>
    </row>
    <row r="11" spans="2:15">
      <c r="B11" s="28" t="s">
        <v>83</v>
      </c>
      <c r="C11" s="18">
        <v>21074</v>
      </c>
      <c r="D11" s="18">
        <v>19232</v>
      </c>
      <c r="E11" s="18">
        <v>18409</v>
      </c>
      <c r="F11" s="18">
        <v>17470</v>
      </c>
      <c r="G11" s="18">
        <v>22273</v>
      </c>
      <c r="H11" s="18">
        <v>17342</v>
      </c>
      <c r="I11" s="18">
        <v>20112</v>
      </c>
      <c r="J11" s="18">
        <v>20225</v>
      </c>
      <c r="K11" s="18">
        <v>17876</v>
      </c>
      <c r="L11" s="18">
        <v>20935</v>
      </c>
      <c r="M11" s="18">
        <v>22494</v>
      </c>
      <c r="N11" s="18">
        <v>21656</v>
      </c>
      <c r="O11" s="64">
        <f>SUM(C11:N11)</f>
        <v>239098</v>
      </c>
    </row>
    <row r="12" spans="2:15">
      <c r="B12" s="21" t="s">
        <v>68</v>
      </c>
      <c r="C12" s="64">
        <f t="shared" ref="C12:O12" si="0">SUM(C7:C11)</f>
        <v>98043</v>
      </c>
      <c r="D12" s="64">
        <f t="shared" si="0"/>
        <v>97677</v>
      </c>
      <c r="E12" s="64">
        <f t="shared" si="0"/>
        <v>97177</v>
      </c>
      <c r="F12" s="64">
        <f t="shared" si="0"/>
        <v>90097</v>
      </c>
      <c r="G12" s="64">
        <f t="shared" si="0"/>
        <v>103214</v>
      </c>
      <c r="H12" s="64">
        <f t="shared" si="0"/>
        <v>93520</v>
      </c>
      <c r="I12" s="64">
        <f t="shared" si="0"/>
        <v>98434</v>
      </c>
      <c r="J12" s="64">
        <f t="shared" si="0"/>
        <v>99263</v>
      </c>
      <c r="K12" s="64">
        <f t="shared" si="0"/>
        <v>98007</v>
      </c>
      <c r="L12" s="64">
        <f t="shared" si="0"/>
        <v>102443</v>
      </c>
      <c r="M12" s="64">
        <f t="shared" si="0"/>
        <v>100936</v>
      </c>
      <c r="N12" s="64">
        <f t="shared" si="0"/>
        <v>106023</v>
      </c>
      <c r="O12" s="65">
        <f t="shared" si="0"/>
        <v>1184834</v>
      </c>
    </row>
    <row r="14" spans="2:15">
      <c r="B14" s="14" t="s">
        <v>69</v>
      </c>
      <c r="C14" s="15"/>
      <c r="D14" s="15"/>
      <c r="E14" s="15"/>
      <c r="F14" s="15"/>
      <c r="G14" s="15"/>
    </row>
    <row r="15" spans="2:15">
      <c r="B15" s="16" t="s">
        <v>70</v>
      </c>
      <c r="C15" s="16" t="s">
        <v>16</v>
      </c>
      <c r="D15" s="16" t="s">
        <v>17</v>
      </c>
      <c r="E15" s="16" t="s">
        <v>18</v>
      </c>
      <c r="F15" s="16" t="s">
        <v>19</v>
      </c>
      <c r="G15" s="16" t="s">
        <v>20</v>
      </c>
    </row>
    <row r="16" spans="2:15" ht="15">
      <c r="B16" s="17" t="s">
        <v>79</v>
      </c>
      <c r="C16" s="18">
        <v>240000</v>
      </c>
      <c r="D16" s="18">
        <f>O7</f>
        <v>241544</v>
      </c>
      <c r="E16" s="18">
        <f t="shared" ref="E16:E21" si="1">D16-C16</f>
        <v>1544</v>
      </c>
      <c r="F16" s="19">
        <f t="shared" ref="F16:F21" si="2">IF(C16=0,0,(D16-C16)/C16)</f>
        <v>6.4333333333333334E-3</v>
      </c>
      <c r="G16" s="30" t="s">
        <v>43</v>
      </c>
    </row>
    <row r="17" spans="2:7" ht="15">
      <c r="B17" s="17" t="s">
        <v>80</v>
      </c>
      <c r="C17" s="18">
        <v>240000</v>
      </c>
      <c r="D17" s="18">
        <f>O8</f>
        <v>232153</v>
      </c>
      <c r="E17" s="18">
        <f t="shared" si="1"/>
        <v>-7847</v>
      </c>
      <c r="F17" s="19">
        <f t="shared" si="2"/>
        <v>-3.2695833333333334E-2</v>
      </c>
      <c r="G17" s="30" t="s">
        <v>43</v>
      </c>
    </row>
    <row r="18" spans="2:7" ht="15">
      <c r="B18" s="17" t="s">
        <v>81</v>
      </c>
      <c r="C18" s="18">
        <v>240000</v>
      </c>
      <c r="D18" s="18">
        <f>O9</f>
        <v>224915</v>
      </c>
      <c r="E18" s="18">
        <f t="shared" si="1"/>
        <v>-15085</v>
      </c>
      <c r="F18" s="19">
        <f t="shared" si="2"/>
        <v>-6.2854166666666669E-2</v>
      </c>
      <c r="G18" s="30" t="s">
        <v>43</v>
      </c>
    </row>
    <row r="19" spans="2:7" ht="15">
      <c r="B19" s="17" t="s">
        <v>82</v>
      </c>
      <c r="C19" s="18">
        <v>240000</v>
      </c>
      <c r="D19" s="18">
        <f>O10</f>
        <v>247124</v>
      </c>
      <c r="E19" s="18">
        <f t="shared" si="1"/>
        <v>7124</v>
      </c>
      <c r="F19" s="19">
        <f t="shared" si="2"/>
        <v>2.9683333333333332E-2</v>
      </c>
      <c r="G19" s="30" t="s">
        <v>43</v>
      </c>
    </row>
    <row r="20" spans="2:7" ht="15">
      <c r="B20" s="17" t="s">
        <v>83</v>
      </c>
      <c r="C20" s="18">
        <v>240000</v>
      </c>
      <c r="D20" s="18">
        <f>O11</f>
        <v>239098</v>
      </c>
      <c r="E20" s="18">
        <f t="shared" si="1"/>
        <v>-902</v>
      </c>
      <c r="F20" s="19">
        <f t="shared" si="2"/>
        <v>-3.7583333333333331E-3</v>
      </c>
      <c r="G20" s="30" t="s">
        <v>43</v>
      </c>
    </row>
    <row r="21" spans="2:7" ht="15">
      <c r="B21" s="21" t="s">
        <v>68</v>
      </c>
      <c r="C21" s="64">
        <f>SUM(C16:C20)</f>
        <v>1200000</v>
      </c>
      <c r="D21" s="64">
        <f>SUM(D16:D20)</f>
        <v>1184834</v>
      </c>
      <c r="E21" s="64">
        <f t="shared" si="1"/>
        <v>-15166</v>
      </c>
      <c r="F21" s="22">
        <f t="shared" si="2"/>
        <v>-1.2638333333333333E-2</v>
      </c>
      <c r="G21" s="30" t="s">
        <v>43</v>
      </c>
    </row>
    <row r="23" spans="2:7">
      <c r="B23" s="14" t="s">
        <v>71</v>
      </c>
      <c r="C23" s="15"/>
      <c r="D23" s="15"/>
    </row>
    <row r="24" spans="2:7">
      <c r="B24" s="21" t="s">
        <v>72</v>
      </c>
      <c r="C24" s="31" t="s">
        <v>84</v>
      </c>
    </row>
    <row r="25" spans="2:7">
      <c r="B25" s="21" t="s">
        <v>74</v>
      </c>
      <c r="C25" s="31" t="s">
        <v>24</v>
      </c>
    </row>
    <row r="26" spans="2:7">
      <c r="B26" s="21" t="s">
        <v>75</v>
      </c>
      <c r="C26" s="32">
        <v>45</v>
      </c>
    </row>
    <row r="27" spans="2:7">
      <c r="B27" s="21" t="s">
        <v>76</v>
      </c>
      <c r="C27" s="31" t="s">
        <v>85</v>
      </c>
    </row>
  </sheetData>
  <conditionalFormatting sqref="F16:F21">
    <cfRule type="expression" dxfId="53" priority="7">
      <formula>$F16&gt;0.1</formula>
    </cfRule>
    <cfRule type="expression" dxfId="52" priority="8">
      <formula>AND($F16&gt;0,$F16&lt;=0.1)</formula>
    </cfRule>
    <cfRule type="expression" dxfId="51" priority="9">
      <formula>$F16&lt;=0</formula>
    </cfRule>
  </conditionalFormatting>
  <conditionalFormatting sqref="G16:G21">
    <cfRule type="expression" dxfId="50" priority="1">
      <formula>$F16&gt;0.1</formula>
    </cfRule>
    <cfRule type="expression" dxfId="49" priority="2">
      <formula>AND($F16&gt;0,$F16&lt;=0.1)</formula>
    </cfRule>
    <cfRule type="expression" dxfId="48" priority="3">
      <formula>$F16&lt;=0</formula>
    </cfRule>
  </conditionalFormatting>
  <hyperlinks>
    <hyperlink ref="H2" location="'Cost Center Summary'!A1" display="🏠 Summary"/>
  </hyperlink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7"/>
  <sheetViews>
    <sheetView showGridLines="0" zoomScaleNormal="100" workbookViewId="0">
      <selection activeCell="H2" sqref="H2"/>
    </sheetView>
  </sheetViews>
  <sheetFormatPr defaultColWidth="6" defaultRowHeight="13.8"/>
  <cols>
    <col min="1" max="1" width="3.5" style="12" customWidth="1"/>
    <col min="2" max="2" width="23.625" style="12" customWidth="1"/>
    <col min="3" max="3" width="13.375" style="12" customWidth="1"/>
    <col min="4" max="4" width="13.375" style="12" bestFit="1" customWidth="1"/>
    <col min="5" max="5" width="11.375" style="12" bestFit="1" customWidth="1"/>
    <col min="6" max="7" width="11.125" style="12" bestFit="1" customWidth="1"/>
    <col min="8" max="8" width="21.75" style="12" bestFit="1" customWidth="1"/>
    <col min="9" max="14" width="11.125" style="12" bestFit="1" customWidth="1"/>
    <col min="15" max="15" width="13.5" style="12" bestFit="1" customWidth="1"/>
    <col min="16" max="16384" width="6" style="12"/>
  </cols>
  <sheetData>
    <row r="2" spans="2:15" ht="21">
      <c r="B2" s="11" t="s">
        <v>86</v>
      </c>
      <c r="H2" s="61" t="s">
        <v>236</v>
      </c>
    </row>
    <row r="3" spans="2:15">
      <c r="B3" s="13" t="s">
        <v>48</v>
      </c>
    </row>
    <row r="5" spans="2:15">
      <c r="B5" s="14" t="s">
        <v>49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2:15">
      <c r="B6" s="16"/>
      <c r="C6" s="16" t="s">
        <v>50</v>
      </c>
      <c r="D6" s="16" t="s">
        <v>51</v>
      </c>
      <c r="E6" s="16" t="s">
        <v>52</v>
      </c>
      <c r="F6" s="16" t="s">
        <v>53</v>
      </c>
      <c r="G6" s="16" t="s">
        <v>54</v>
      </c>
      <c r="H6" s="16" t="s">
        <v>55</v>
      </c>
      <c r="I6" s="16" t="s">
        <v>56</v>
      </c>
      <c r="J6" s="16" t="s">
        <v>57</v>
      </c>
      <c r="K6" s="16" t="s">
        <v>58</v>
      </c>
      <c r="L6" s="16" t="s">
        <v>59</v>
      </c>
      <c r="M6" s="16" t="s">
        <v>60</v>
      </c>
      <c r="N6" s="16" t="s">
        <v>61</v>
      </c>
      <c r="O6" s="16" t="s">
        <v>62</v>
      </c>
    </row>
    <row r="7" spans="2:15">
      <c r="B7" s="28" t="s">
        <v>87</v>
      </c>
      <c r="C7" s="18">
        <v>51561</v>
      </c>
      <c r="D7" s="18">
        <v>47356</v>
      </c>
      <c r="E7" s="18">
        <v>60932</v>
      </c>
      <c r="F7" s="18">
        <v>53606</v>
      </c>
      <c r="G7" s="18">
        <v>55407</v>
      </c>
      <c r="H7" s="18">
        <v>58169</v>
      </c>
      <c r="I7" s="18">
        <v>51513</v>
      </c>
      <c r="J7" s="18">
        <v>46326</v>
      </c>
      <c r="K7" s="18">
        <v>47509</v>
      </c>
      <c r="L7" s="18">
        <v>56028</v>
      </c>
      <c r="M7" s="18">
        <v>50925</v>
      </c>
      <c r="N7" s="18">
        <v>59270</v>
      </c>
      <c r="O7" s="64">
        <f>SUM(C7:N7)</f>
        <v>638602</v>
      </c>
    </row>
    <row r="8" spans="2:15">
      <c r="B8" s="28" t="s">
        <v>88</v>
      </c>
      <c r="C8" s="18">
        <v>57175</v>
      </c>
      <c r="D8" s="18">
        <v>61020</v>
      </c>
      <c r="E8" s="18">
        <v>56034</v>
      </c>
      <c r="F8" s="18">
        <v>50194</v>
      </c>
      <c r="G8" s="18">
        <v>57991</v>
      </c>
      <c r="H8" s="18">
        <v>45785</v>
      </c>
      <c r="I8" s="18">
        <v>53678</v>
      </c>
      <c r="J8" s="18">
        <v>59275</v>
      </c>
      <c r="K8" s="18">
        <v>53568</v>
      </c>
      <c r="L8" s="18">
        <v>47531</v>
      </c>
      <c r="M8" s="18">
        <v>53335</v>
      </c>
      <c r="N8" s="18">
        <v>54060</v>
      </c>
      <c r="O8" s="64">
        <f>SUM(C8:N8)</f>
        <v>649646</v>
      </c>
    </row>
    <row r="9" spans="2:15">
      <c r="B9" s="28" t="s">
        <v>89</v>
      </c>
      <c r="C9" s="18">
        <v>51237</v>
      </c>
      <c r="D9" s="18">
        <v>59628</v>
      </c>
      <c r="E9" s="18">
        <v>50774</v>
      </c>
      <c r="F9" s="18">
        <v>49681</v>
      </c>
      <c r="G9" s="18">
        <v>53434</v>
      </c>
      <c r="H9" s="18">
        <v>48585</v>
      </c>
      <c r="I9" s="18">
        <v>50486</v>
      </c>
      <c r="J9" s="18">
        <v>51704</v>
      </c>
      <c r="K9" s="18">
        <v>60345</v>
      </c>
      <c r="L9" s="18">
        <v>46619</v>
      </c>
      <c r="M9" s="18">
        <v>48486</v>
      </c>
      <c r="N9" s="18">
        <v>48525</v>
      </c>
      <c r="O9" s="64">
        <f>SUM(C9:N9)</f>
        <v>619504</v>
      </c>
    </row>
    <row r="10" spans="2:15">
      <c r="B10" s="28" t="s">
        <v>90</v>
      </c>
      <c r="C10" s="18">
        <v>61257</v>
      </c>
      <c r="D10" s="18">
        <v>59586</v>
      </c>
      <c r="E10" s="18">
        <v>48439</v>
      </c>
      <c r="F10" s="18">
        <v>54367</v>
      </c>
      <c r="G10" s="18">
        <v>46694</v>
      </c>
      <c r="H10" s="18">
        <v>50405</v>
      </c>
      <c r="I10" s="18">
        <v>50791</v>
      </c>
      <c r="J10" s="18">
        <v>53936</v>
      </c>
      <c r="K10" s="18">
        <v>60203</v>
      </c>
      <c r="L10" s="18">
        <v>58277</v>
      </c>
      <c r="M10" s="18">
        <v>53880</v>
      </c>
      <c r="N10" s="18">
        <v>57910</v>
      </c>
      <c r="O10" s="64">
        <f>SUM(C10:N10)</f>
        <v>655745</v>
      </c>
    </row>
    <row r="11" spans="2:15">
      <c r="B11" s="28" t="s">
        <v>91</v>
      </c>
      <c r="C11" s="18">
        <v>53076</v>
      </c>
      <c r="D11" s="18">
        <v>57022</v>
      </c>
      <c r="E11" s="18">
        <v>57764</v>
      </c>
      <c r="F11" s="18">
        <v>49442</v>
      </c>
      <c r="G11" s="18">
        <v>58657</v>
      </c>
      <c r="H11" s="18">
        <v>54580</v>
      </c>
      <c r="I11" s="18">
        <v>53111</v>
      </c>
      <c r="J11" s="18">
        <v>51666</v>
      </c>
      <c r="K11" s="18">
        <v>48919</v>
      </c>
      <c r="L11" s="18">
        <v>53353</v>
      </c>
      <c r="M11" s="18">
        <v>47351</v>
      </c>
      <c r="N11" s="18">
        <v>55489</v>
      </c>
      <c r="O11" s="64">
        <f>SUM(C11:N11)</f>
        <v>640430</v>
      </c>
    </row>
    <row r="12" spans="2:15">
      <c r="B12" s="21" t="s">
        <v>68</v>
      </c>
      <c r="C12" s="64">
        <f t="shared" ref="C12:O12" si="0">SUM(C7:C11)</f>
        <v>274306</v>
      </c>
      <c r="D12" s="64">
        <f t="shared" si="0"/>
        <v>284612</v>
      </c>
      <c r="E12" s="64">
        <f t="shared" si="0"/>
        <v>273943</v>
      </c>
      <c r="F12" s="64">
        <f t="shared" si="0"/>
        <v>257290</v>
      </c>
      <c r="G12" s="64">
        <f t="shared" si="0"/>
        <v>272183</v>
      </c>
      <c r="H12" s="64">
        <f t="shared" si="0"/>
        <v>257524</v>
      </c>
      <c r="I12" s="64">
        <f t="shared" si="0"/>
        <v>259579</v>
      </c>
      <c r="J12" s="64">
        <f t="shared" si="0"/>
        <v>262907</v>
      </c>
      <c r="K12" s="64">
        <f t="shared" si="0"/>
        <v>270544</v>
      </c>
      <c r="L12" s="64">
        <f t="shared" si="0"/>
        <v>261808</v>
      </c>
      <c r="M12" s="64">
        <f t="shared" si="0"/>
        <v>253977</v>
      </c>
      <c r="N12" s="64">
        <f t="shared" si="0"/>
        <v>275254</v>
      </c>
      <c r="O12" s="65">
        <f t="shared" si="0"/>
        <v>3203927</v>
      </c>
    </row>
    <row r="14" spans="2:15">
      <c r="B14" s="14" t="s">
        <v>69</v>
      </c>
      <c r="C14" s="15"/>
      <c r="D14" s="15"/>
      <c r="E14" s="15"/>
      <c r="F14" s="15"/>
      <c r="G14" s="15"/>
    </row>
    <row r="15" spans="2:15">
      <c r="B15" s="16" t="s">
        <v>70</v>
      </c>
      <c r="C15" s="16" t="s">
        <v>16</v>
      </c>
      <c r="D15" s="16" t="s">
        <v>17</v>
      </c>
      <c r="E15" s="16" t="s">
        <v>18</v>
      </c>
      <c r="F15" s="16" t="s">
        <v>19</v>
      </c>
      <c r="G15" s="16" t="s">
        <v>20</v>
      </c>
    </row>
    <row r="16" spans="2:15" ht="15">
      <c r="B16" s="17" t="s">
        <v>87</v>
      </c>
      <c r="C16" s="18">
        <v>640000</v>
      </c>
      <c r="D16" s="18">
        <f>O7</f>
        <v>638602</v>
      </c>
      <c r="E16" s="18">
        <f t="shared" ref="E16:E21" si="1">D16-C16</f>
        <v>-1398</v>
      </c>
      <c r="F16" s="19">
        <f t="shared" ref="F16:F21" si="2">IF(C16=0,0,(D16-C16)/C16)</f>
        <v>-2.1843750000000001E-3</v>
      </c>
      <c r="G16" s="30" t="s">
        <v>43</v>
      </c>
    </row>
    <row r="17" spans="2:7" ht="15">
      <c r="B17" s="17" t="s">
        <v>88</v>
      </c>
      <c r="C17" s="18">
        <v>640000</v>
      </c>
      <c r="D17" s="18">
        <f>O8</f>
        <v>649646</v>
      </c>
      <c r="E17" s="18">
        <f t="shared" si="1"/>
        <v>9646</v>
      </c>
      <c r="F17" s="19">
        <f t="shared" si="2"/>
        <v>1.5071875E-2</v>
      </c>
      <c r="G17" s="30" t="s">
        <v>43</v>
      </c>
    </row>
    <row r="18" spans="2:7" ht="15">
      <c r="B18" s="17" t="s">
        <v>89</v>
      </c>
      <c r="C18" s="18">
        <v>640000</v>
      </c>
      <c r="D18" s="18">
        <f>O9</f>
        <v>619504</v>
      </c>
      <c r="E18" s="18">
        <f t="shared" si="1"/>
        <v>-20496</v>
      </c>
      <c r="F18" s="19">
        <f t="shared" si="2"/>
        <v>-3.2024999999999998E-2</v>
      </c>
      <c r="G18" s="30" t="s">
        <v>43</v>
      </c>
    </row>
    <row r="19" spans="2:7" ht="15">
      <c r="B19" s="17" t="s">
        <v>90</v>
      </c>
      <c r="C19" s="18">
        <v>640000</v>
      </c>
      <c r="D19" s="18">
        <f>O10</f>
        <v>655745</v>
      </c>
      <c r="E19" s="18">
        <f t="shared" si="1"/>
        <v>15745</v>
      </c>
      <c r="F19" s="19">
        <f t="shared" si="2"/>
        <v>2.46015625E-2</v>
      </c>
      <c r="G19" s="30" t="s">
        <v>43</v>
      </c>
    </row>
    <row r="20" spans="2:7" ht="15">
      <c r="B20" s="17" t="s">
        <v>91</v>
      </c>
      <c r="C20" s="18">
        <v>640000</v>
      </c>
      <c r="D20" s="18">
        <f>O11</f>
        <v>640430</v>
      </c>
      <c r="E20" s="18">
        <f t="shared" si="1"/>
        <v>430</v>
      </c>
      <c r="F20" s="19">
        <f t="shared" si="2"/>
        <v>6.7187499999999995E-4</v>
      </c>
      <c r="G20" s="30" t="s">
        <v>43</v>
      </c>
    </row>
    <row r="21" spans="2:7" ht="15">
      <c r="B21" s="21" t="s">
        <v>68</v>
      </c>
      <c r="C21" s="64">
        <f>SUM(C16:C20)</f>
        <v>3200000</v>
      </c>
      <c r="D21" s="64">
        <f>SUM(D16:D20)</f>
        <v>3203927</v>
      </c>
      <c r="E21" s="64">
        <f t="shared" si="1"/>
        <v>3927</v>
      </c>
      <c r="F21" s="22">
        <f t="shared" si="2"/>
        <v>1.2271875E-3</v>
      </c>
      <c r="G21" s="30" t="s">
        <v>43</v>
      </c>
    </row>
    <row r="23" spans="2:7">
      <c r="B23" s="14" t="s">
        <v>71</v>
      </c>
      <c r="C23" s="15"/>
      <c r="D23" s="15"/>
    </row>
    <row r="24" spans="2:7">
      <c r="B24" s="21" t="s">
        <v>72</v>
      </c>
      <c r="C24" s="31" t="s">
        <v>92</v>
      </c>
    </row>
    <row r="25" spans="2:7">
      <c r="B25" s="21" t="s">
        <v>74</v>
      </c>
      <c r="C25" s="31" t="s">
        <v>26</v>
      </c>
    </row>
    <row r="26" spans="2:7">
      <c r="B26" s="21" t="s">
        <v>75</v>
      </c>
      <c r="C26" s="32">
        <v>120</v>
      </c>
    </row>
    <row r="27" spans="2:7">
      <c r="B27" s="21" t="s">
        <v>76</v>
      </c>
      <c r="C27" s="31" t="s">
        <v>93</v>
      </c>
    </row>
  </sheetData>
  <conditionalFormatting sqref="F16:F21">
    <cfRule type="expression" dxfId="47" priority="7">
      <formula>$F16&gt;0.1</formula>
    </cfRule>
    <cfRule type="expression" dxfId="46" priority="8">
      <formula>AND($F16&gt;0,$F16&lt;=0.1)</formula>
    </cfRule>
    <cfRule type="expression" dxfId="45" priority="9">
      <formula>$F16&lt;=0</formula>
    </cfRule>
  </conditionalFormatting>
  <conditionalFormatting sqref="G16:G21">
    <cfRule type="expression" dxfId="44" priority="1">
      <formula>$F16&gt;0.1</formula>
    </cfRule>
    <cfRule type="expression" dxfId="43" priority="2">
      <formula>AND($F16&gt;0,$F16&lt;=0.1)</formula>
    </cfRule>
    <cfRule type="expression" dxfId="42" priority="3">
      <formula>$F16&lt;=0</formula>
    </cfRule>
  </conditionalFormatting>
  <hyperlinks>
    <hyperlink ref="H2" location="'Cost Center Summary'!A1" display="🏠 Summary"/>
  </hyperlink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7"/>
  <sheetViews>
    <sheetView showGridLines="0" zoomScaleNormal="100" workbookViewId="0">
      <selection activeCell="H2" sqref="H2"/>
    </sheetView>
  </sheetViews>
  <sheetFormatPr defaultColWidth="6" defaultRowHeight="13.8"/>
  <cols>
    <col min="1" max="1" width="3.5" style="12" customWidth="1"/>
    <col min="2" max="2" width="23.625" style="12" customWidth="1"/>
    <col min="3" max="3" width="13.375" style="12" customWidth="1"/>
    <col min="4" max="4" width="13.375" style="12" bestFit="1" customWidth="1"/>
    <col min="5" max="5" width="11.375" style="12" bestFit="1" customWidth="1"/>
    <col min="6" max="7" width="11.125" style="12" bestFit="1" customWidth="1"/>
    <col min="8" max="8" width="21.75" style="12" bestFit="1" customWidth="1"/>
    <col min="9" max="14" width="11.125" style="12" bestFit="1" customWidth="1"/>
    <col min="15" max="15" width="13.5" style="12" bestFit="1" customWidth="1"/>
    <col min="16" max="16384" width="6" style="12"/>
  </cols>
  <sheetData>
    <row r="2" spans="2:15" ht="21">
      <c r="B2" s="11" t="s">
        <v>94</v>
      </c>
      <c r="H2" s="61" t="s">
        <v>236</v>
      </c>
    </row>
    <row r="3" spans="2:15">
      <c r="B3" s="13" t="s">
        <v>48</v>
      </c>
    </row>
    <row r="5" spans="2:15">
      <c r="B5" s="14" t="s">
        <v>49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2:15">
      <c r="B6" s="16"/>
      <c r="C6" s="16" t="s">
        <v>50</v>
      </c>
      <c r="D6" s="16" t="s">
        <v>51</v>
      </c>
      <c r="E6" s="16" t="s">
        <v>52</v>
      </c>
      <c r="F6" s="16" t="s">
        <v>53</v>
      </c>
      <c r="G6" s="16" t="s">
        <v>54</v>
      </c>
      <c r="H6" s="16" t="s">
        <v>55</v>
      </c>
      <c r="I6" s="16" t="s">
        <v>56</v>
      </c>
      <c r="J6" s="16" t="s">
        <v>57</v>
      </c>
      <c r="K6" s="16" t="s">
        <v>58</v>
      </c>
      <c r="L6" s="16" t="s">
        <v>59</v>
      </c>
      <c r="M6" s="16" t="s">
        <v>60</v>
      </c>
      <c r="N6" s="16" t="s">
        <v>61</v>
      </c>
      <c r="O6" s="16" t="s">
        <v>62</v>
      </c>
    </row>
    <row r="7" spans="2:15">
      <c r="B7" s="28" t="s">
        <v>95</v>
      </c>
      <c r="C7" s="18">
        <v>52242</v>
      </c>
      <c r="D7" s="18">
        <v>50734</v>
      </c>
      <c r="E7" s="18">
        <v>48194</v>
      </c>
      <c r="F7" s="18">
        <v>46589</v>
      </c>
      <c r="G7" s="18">
        <v>49407</v>
      </c>
      <c r="H7" s="18">
        <v>41379</v>
      </c>
      <c r="I7" s="18">
        <v>40400</v>
      </c>
      <c r="J7" s="18">
        <v>51729</v>
      </c>
      <c r="K7" s="18">
        <v>44732</v>
      </c>
      <c r="L7" s="18">
        <v>49031</v>
      </c>
      <c r="M7" s="18">
        <v>45557</v>
      </c>
      <c r="N7" s="18">
        <v>44688</v>
      </c>
      <c r="O7" s="64">
        <f>SUM(C7:N7)</f>
        <v>564682</v>
      </c>
    </row>
    <row r="8" spans="2:15">
      <c r="B8" s="28" t="s">
        <v>96</v>
      </c>
      <c r="C8" s="18">
        <v>50450</v>
      </c>
      <c r="D8" s="18">
        <v>44469</v>
      </c>
      <c r="E8" s="18">
        <v>50218</v>
      </c>
      <c r="F8" s="18">
        <v>51153</v>
      </c>
      <c r="G8" s="18">
        <v>42196</v>
      </c>
      <c r="H8" s="18">
        <v>53347</v>
      </c>
      <c r="I8" s="18">
        <v>40540</v>
      </c>
      <c r="J8" s="18">
        <v>45472</v>
      </c>
      <c r="K8" s="18">
        <v>46673</v>
      </c>
      <c r="L8" s="18">
        <v>51277</v>
      </c>
      <c r="M8" s="18">
        <v>42114</v>
      </c>
      <c r="N8" s="18">
        <v>47493</v>
      </c>
      <c r="O8" s="64">
        <f>SUM(C8:N8)</f>
        <v>565402</v>
      </c>
    </row>
    <row r="9" spans="2:15">
      <c r="B9" s="28" t="s">
        <v>97</v>
      </c>
      <c r="C9" s="18">
        <v>44825</v>
      </c>
      <c r="D9" s="18">
        <v>52570</v>
      </c>
      <c r="E9" s="18">
        <v>41379</v>
      </c>
      <c r="F9" s="18">
        <v>43382</v>
      </c>
      <c r="G9" s="18">
        <v>51143</v>
      </c>
      <c r="H9" s="18">
        <v>44177</v>
      </c>
      <c r="I9" s="18">
        <v>52885</v>
      </c>
      <c r="J9" s="18">
        <v>40389</v>
      </c>
      <c r="K9" s="18">
        <v>45104</v>
      </c>
      <c r="L9" s="18">
        <v>41171</v>
      </c>
      <c r="M9" s="18">
        <v>47696</v>
      </c>
      <c r="N9" s="18">
        <v>53150</v>
      </c>
      <c r="O9" s="64">
        <f>SUM(C9:N9)</f>
        <v>557871</v>
      </c>
    </row>
    <row r="10" spans="2:15">
      <c r="B10" s="28" t="s">
        <v>98</v>
      </c>
      <c r="C10" s="18">
        <v>44212</v>
      </c>
      <c r="D10" s="18">
        <v>48722</v>
      </c>
      <c r="E10" s="18">
        <v>43389</v>
      </c>
      <c r="F10" s="18">
        <v>45815</v>
      </c>
      <c r="G10" s="18">
        <v>47667</v>
      </c>
      <c r="H10" s="18">
        <v>43144</v>
      </c>
      <c r="I10" s="18">
        <v>49333</v>
      </c>
      <c r="J10" s="18">
        <v>46680</v>
      </c>
      <c r="K10" s="18">
        <v>52343</v>
      </c>
      <c r="L10" s="18">
        <v>43516</v>
      </c>
      <c r="M10" s="18">
        <v>53034</v>
      </c>
      <c r="N10" s="18">
        <v>42217</v>
      </c>
      <c r="O10" s="64">
        <f>SUM(C10:N10)</f>
        <v>560072</v>
      </c>
    </row>
    <row r="11" spans="2:15">
      <c r="B11" s="28" t="s">
        <v>99</v>
      </c>
      <c r="C11" s="18">
        <v>39945</v>
      </c>
      <c r="D11" s="18">
        <v>48909</v>
      </c>
      <c r="E11" s="18">
        <v>49939</v>
      </c>
      <c r="F11" s="18">
        <v>46349</v>
      </c>
      <c r="G11" s="18">
        <v>40265</v>
      </c>
      <c r="H11" s="18">
        <v>53640</v>
      </c>
      <c r="I11" s="18">
        <v>41648</v>
      </c>
      <c r="J11" s="18">
        <v>51853</v>
      </c>
      <c r="K11" s="18">
        <v>52148</v>
      </c>
      <c r="L11" s="18">
        <v>42758</v>
      </c>
      <c r="M11" s="18">
        <v>51761</v>
      </c>
      <c r="N11" s="18">
        <v>46154</v>
      </c>
      <c r="O11" s="64">
        <f>SUM(C11:N11)</f>
        <v>565369</v>
      </c>
    </row>
    <row r="12" spans="2:15">
      <c r="B12" s="21" t="s">
        <v>68</v>
      </c>
      <c r="C12" s="64">
        <f t="shared" ref="C12:O12" si="0">SUM(C7:C11)</f>
        <v>231674</v>
      </c>
      <c r="D12" s="64">
        <f t="shared" si="0"/>
        <v>245404</v>
      </c>
      <c r="E12" s="64">
        <f t="shared" si="0"/>
        <v>233119</v>
      </c>
      <c r="F12" s="64">
        <f t="shared" si="0"/>
        <v>233288</v>
      </c>
      <c r="G12" s="64">
        <f t="shared" si="0"/>
        <v>230678</v>
      </c>
      <c r="H12" s="64">
        <f t="shared" si="0"/>
        <v>235687</v>
      </c>
      <c r="I12" s="64">
        <f t="shared" si="0"/>
        <v>224806</v>
      </c>
      <c r="J12" s="64">
        <f t="shared" si="0"/>
        <v>236123</v>
      </c>
      <c r="K12" s="64">
        <f t="shared" si="0"/>
        <v>241000</v>
      </c>
      <c r="L12" s="64">
        <f t="shared" si="0"/>
        <v>227753</v>
      </c>
      <c r="M12" s="64">
        <f t="shared" si="0"/>
        <v>240162</v>
      </c>
      <c r="N12" s="64">
        <f t="shared" si="0"/>
        <v>233702</v>
      </c>
      <c r="O12" s="65">
        <f t="shared" si="0"/>
        <v>2813396</v>
      </c>
    </row>
    <row r="14" spans="2:15">
      <c r="B14" s="14" t="s">
        <v>69</v>
      </c>
      <c r="C14" s="15"/>
      <c r="D14" s="15"/>
      <c r="E14" s="15"/>
      <c r="F14" s="15"/>
      <c r="G14" s="15"/>
    </row>
    <row r="15" spans="2:15">
      <c r="B15" s="16" t="s">
        <v>70</v>
      </c>
      <c r="C15" s="16" t="s">
        <v>16</v>
      </c>
      <c r="D15" s="16" t="s">
        <v>17</v>
      </c>
      <c r="E15" s="16" t="s">
        <v>18</v>
      </c>
      <c r="F15" s="16" t="s">
        <v>19</v>
      </c>
      <c r="G15" s="16" t="s">
        <v>20</v>
      </c>
    </row>
    <row r="16" spans="2:15" ht="15">
      <c r="B16" s="17" t="s">
        <v>95</v>
      </c>
      <c r="C16" s="18">
        <v>560000</v>
      </c>
      <c r="D16" s="18">
        <f>O7</f>
        <v>564682</v>
      </c>
      <c r="E16" s="18">
        <f t="shared" ref="E16:E21" si="1">D16-C16</f>
        <v>4682</v>
      </c>
      <c r="F16" s="19">
        <f t="shared" ref="F16:F21" si="2">IF(C16=0,0,(D16-C16)/C16)</f>
        <v>8.3607142857142856E-3</v>
      </c>
      <c r="G16" s="30" t="s">
        <v>43</v>
      </c>
    </row>
    <row r="17" spans="2:7" ht="15">
      <c r="B17" s="17" t="s">
        <v>96</v>
      </c>
      <c r="C17" s="18">
        <v>560000</v>
      </c>
      <c r="D17" s="18">
        <f>O8</f>
        <v>565402</v>
      </c>
      <c r="E17" s="18">
        <f t="shared" si="1"/>
        <v>5402</v>
      </c>
      <c r="F17" s="19">
        <f t="shared" si="2"/>
        <v>9.6464285714285714E-3</v>
      </c>
      <c r="G17" s="30" t="s">
        <v>43</v>
      </c>
    </row>
    <row r="18" spans="2:7" ht="15">
      <c r="B18" s="17" t="s">
        <v>97</v>
      </c>
      <c r="C18" s="18">
        <v>560000</v>
      </c>
      <c r="D18" s="18">
        <f>O9</f>
        <v>557871</v>
      </c>
      <c r="E18" s="18">
        <f t="shared" si="1"/>
        <v>-2129</v>
      </c>
      <c r="F18" s="19">
        <f t="shared" si="2"/>
        <v>-3.8017857142857141E-3</v>
      </c>
      <c r="G18" s="30" t="s">
        <v>43</v>
      </c>
    </row>
    <row r="19" spans="2:7" ht="15">
      <c r="B19" s="17" t="s">
        <v>98</v>
      </c>
      <c r="C19" s="18">
        <v>560000</v>
      </c>
      <c r="D19" s="18">
        <f>O10</f>
        <v>560072</v>
      </c>
      <c r="E19" s="18">
        <f t="shared" si="1"/>
        <v>72</v>
      </c>
      <c r="F19" s="19">
        <f t="shared" si="2"/>
        <v>1.2857142857142858E-4</v>
      </c>
      <c r="G19" s="30" t="s">
        <v>43</v>
      </c>
    </row>
    <row r="20" spans="2:7" ht="15">
      <c r="B20" s="17" t="s">
        <v>99</v>
      </c>
      <c r="C20" s="18">
        <v>560000</v>
      </c>
      <c r="D20" s="18">
        <f>O11</f>
        <v>565369</v>
      </c>
      <c r="E20" s="18">
        <f t="shared" si="1"/>
        <v>5369</v>
      </c>
      <c r="F20" s="19">
        <f t="shared" si="2"/>
        <v>9.5875000000000005E-3</v>
      </c>
      <c r="G20" s="30" t="s">
        <v>43</v>
      </c>
    </row>
    <row r="21" spans="2:7" ht="15">
      <c r="B21" s="21" t="s">
        <v>68</v>
      </c>
      <c r="C21" s="64">
        <f>SUM(C16:C20)</f>
        <v>2800000</v>
      </c>
      <c r="D21" s="64">
        <f>SUM(D16:D20)</f>
        <v>2813396</v>
      </c>
      <c r="E21" s="64">
        <f t="shared" si="1"/>
        <v>13396</v>
      </c>
      <c r="F21" s="22">
        <f t="shared" si="2"/>
        <v>4.784285714285714E-3</v>
      </c>
      <c r="G21" s="30" t="s">
        <v>43</v>
      </c>
    </row>
    <row r="23" spans="2:7">
      <c r="B23" s="14" t="s">
        <v>71</v>
      </c>
      <c r="C23" s="15"/>
      <c r="D23" s="15"/>
    </row>
    <row r="24" spans="2:7">
      <c r="B24" s="21" t="s">
        <v>72</v>
      </c>
      <c r="C24" s="31" t="s">
        <v>100</v>
      </c>
    </row>
    <row r="25" spans="2:7">
      <c r="B25" s="21" t="s">
        <v>74</v>
      </c>
      <c r="C25" s="31" t="s">
        <v>28</v>
      </c>
    </row>
    <row r="26" spans="2:7">
      <c r="B26" s="21" t="s">
        <v>75</v>
      </c>
      <c r="C26" s="32">
        <v>65</v>
      </c>
    </row>
    <row r="27" spans="2:7">
      <c r="B27" s="21" t="s">
        <v>76</v>
      </c>
      <c r="C27" s="31" t="s">
        <v>93</v>
      </c>
    </row>
  </sheetData>
  <conditionalFormatting sqref="F16:F21">
    <cfRule type="expression" dxfId="41" priority="7">
      <formula>$F16&gt;0.1</formula>
    </cfRule>
    <cfRule type="expression" dxfId="40" priority="8">
      <formula>AND($F16&gt;0,$F16&lt;=0.1)</formula>
    </cfRule>
    <cfRule type="expression" dxfId="39" priority="9">
      <formula>$F16&lt;=0</formula>
    </cfRule>
  </conditionalFormatting>
  <conditionalFormatting sqref="G16:G21">
    <cfRule type="expression" dxfId="38" priority="1">
      <formula>$F16&gt;0.1</formula>
    </cfRule>
    <cfRule type="expression" dxfId="37" priority="2">
      <formula>AND($F16&gt;0,$F16&lt;=0.1)</formula>
    </cfRule>
    <cfRule type="expression" dxfId="36" priority="3">
      <formula>$F16&lt;=0</formula>
    </cfRule>
  </conditionalFormatting>
  <hyperlinks>
    <hyperlink ref="H2" location="'Cost Center Summary'!A1" display="🏠 Summary"/>
  </hyperlink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7"/>
  <sheetViews>
    <sheetView showGridLines="0" zoomScaleNormal="100" workbookViewId="0">
      <selection activeCell="H2" sqref="H2"/>
    </sheetView>
  </sheetViews>
  <sheetFormatPr defaultColWidth="6" defaultRowHeight="13.8"/>
  <cols>
    <col min="1" max="1" width="3.5" style="12" customWidth="1"/>
    <col min="2" max="2" width="23.625" style="12" customWidth="1"/>
    <col min="3" max="3" width="13.375" style="12" customWidth="1"/>
    <col min="4" max="4" width="13.375" style="12" bestFit="1" customWidth="1"/>
    <col min="5" max="5" width="11.375" style="12" bestFit="1" customWidth="1"/>
    <col min="6" max="7" width="11.125" style="12" bestFit="1" customWidth="1"/>
    <col min="8" max="8" width="21.75" style="12" bestFit="1" customWidth="1"/>
    <col min="9" max="14" width="11.125" style="12" bestFit="1" customWidth="1"/>
    <col min="15" max="15" width="13.5" style="12" bestFit="1" customWidth="1"/>
    <col min="16" max="16384" width="6" style="12"/>
  </cols>
  <sheetData>
    <row r="2" spans="2:15" ht="21">
      <c r="B2" s="11" t="s">
        <v>101</v>
      </c>
      <c r="H2" s="61" t="s">
        <v>236</v>
      </c>
    </row>
    <row r="3" spans="2:15">
      <c r="B3" s="13" t="s">
        <v>48</v>
      </c>
    </row>
    <row r="5" spans="2:15">
      <c r="B5" s="14" t="s">
        <v>49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2:15">
      <c r="B6" s="16"/>
      <c r="C6" s="16" t="s">
        <v>50</v>
      </c>
      <c r="D6" s="16" t="s">
        <v>51</v>
      </c>
      <c r="E6" s="16" t="s">
        <v>52</v>
      </c>
      <c r="F6" s="16" t="s">
        <v>53</v>
      </c>
      <c r="G6" s="16" t="s">
        <v>54</v>
      </c>
      <c r="H6" s="16" t="s">
        <v>55</v>
      </c>
      <c r="I6" s="16" t="s">
        <v>56</v>
      </c>
      <c r="J6" s="16" t="s">
        <v>57</v>
      </c>
      <c r="K6" s="16" t="s">
        <v>58</v>
      </c>
      <c r="L6" s="16" t="s">
        <v>59</v>
      </c>
      <c r="M6" s="16" t="s">
        <v>60</v>
      </c>
      <c r="N6" s="16" t="s">
        <v>61</v>
      </c>
      <c r="O6" s="16" t="s">
        <v>62</v>
      </c>
    </row>
    <row r="7" spans="2:15">
      <c r="B7" s="28" t="s">
        <v>82</v>
      </c>
      <c r="C7" s="18">
        <v>33596</v>
      </c>
      <c r="D7" s="18">
        <v>33487</v>
      </c>
      <c r="E7" s="18">
        <v>32468</v>
      </c>
      <c r="F7" s="18">
        <v>28098</v>
      </c>
      <c r="G7" s="18">
        <v>30720</v>
      </c>
      <c r="H7" s="18">
        <v>34331</v>
      </c>
      <c r="I7" s="18">
        <v>28385</v>
      </c>
      <c r="J7" s="18">
        <v>28978</v>
      </c>
      <c r="K7" s="18">
        <v>31691</v>
      </c>
      <c r="L7" s="18">
        <v>26063</v>
      </c>
      <c r="M7" s="18">
        <v>27780</v>
      </c>
      <c r="N7" s="18">
        <v>27012</v>
      </c>
      <c r="O7" s="64">
        <f>SUM(C7:N7)</f>
        <v>362609</v>
      </c>
    </row>
    <row r="8" spans="2:15">
      <c r="B8" s="28" t="s">
        <v>102</v>
      </c>
      <c r="C8" s="18">
        <v>29244</v>
      </c>
      <c r="D8" s="18">
        <v>29324</v>
      </c>
      <c r="E8" s="18">
        <v>30963</v>
      </c>
      <c r="F8" s="18">
        <v>29971</v>
      </c>
      <c r="G8" s="18">
        <v>26982</v>
      </c>
      <c r="H8" s="18">
        <v>25919</v>
      </c>
      <c r="I8" s="18">
        <v>30222</v>
      </c>
      <c r="J8" s="18">
        <v>32374</v>
      </c>
      <c r="K8" s="18">
        <v>33842</v>
      </c>
      <c r="L8" s="18">
        <v>33056</v>
      </c>
      <c r="M8" s="18">
        <v>28224</v>
      </c>
      <c r="N8" s="18">
        <v>33291</v>
      </c>
      <c r="O8" s="64">
        <f>SUM(C8:N8)</f>
        <v>363412</v>
      </c>
    </row>
    <row r="9" spans="2:15">
      <c r="B9" s="28" t="s">
        <v>103</v>
      </c>
      <c r="C9" s="18">
        <v>29706</v>
      </c>
      <c r="D9" s="18">
        <v>28042</v>
      </c>
      <c r="E9" s="18">
        <v>26329</v>
      </c>
      <c r="F9" s="18">
        <v>29484</v>
      </c>
      <c r="G9" s="18">
        <v>30404</v>
      </c>
      <c r="H9" s="18">
        <v>28013</v>
      </c>
      <c r="I9" s="18">
        <v>27257</v>
      </c>
      <c r="J9" s="18">
        <v>33968</v>
      </c>
      <c r="K9" s="18">
        <v>26109</v>
      </c>
      <c r="L9" s="18">
        <v>33954</v>
      </c>
      <c r="M9" s="18">
        <v>29157</v>
      </c>
      <c r="N9" s="18">
        <v>32623</v>
      </c>
      <c r="O9" s="64">
        <f>SUM(C9:N9)</f>
        <v>355046</v>
      </c>
    </row>
    <row r="10" spans="2:15">
      <c r="B10" s="28" t="s">
        <v>104</v>
      </c>
      <c r="C10" s="18">
        <v>26498</v>
      </c>
      <c r="D10" s="18">
        <v>30630</v>
      </c>
      <c r="E10" s="18">
        <v>32355</v>
      </c>
      <c r="F10" s="18">
        <v>29424</v>
      </c>
      <c r="G10" s="18">
        <v>28708</v>
      </c>
      <c r="H10" s="18">
        <v>29938</v>
      </c>
      <c r="I10" s="18">
        <v>27250</v>
      </c>
      <c r="J10" s="18">
        <v>27404</v>
      </c>
      <c r="K10" s="18">
        <v>27671</v>
      </c>
      <c r="L10" s="18">
        <v>25838</v>
      </c>
      <c r="M10" s="18">
        <v>33690</v>
      </c>
      <c r="N10" s="18">
        <v>26160</v>
      </c>
      <c r="O10" s="64">
        <f>SUM(C10:N10)</f>
        <v>345566</v>
      </c>
    </row>
    <row r="11" spans="2:15">
      <c r="B11" s="28" t="s">
        <v>105</v>
      </c>
      <c r="C11" s="18">
        <v>33844</v>
      </c>
      <c r="D11" s="18">
        <v>25598</v>
      </c>
      <c r="E11" s="18">
        <v>31405</v>
      </c>
      <c r="F11" s="18">
        <v>30422</v>
      </c>
      <c r="G11" s="18">
        <v>25876</v>
      </c>
      <c r="H11" s="18">
        <v>33973</v>
      </c>
      <c r="I11" s="18">
        <v>32076</v>
      </c>
      <c r="J11" s="18">
        <v>33412</v>
      </c>
      <c r="K11" s="18">
        <v>29420</v>
      </c>
      <c r="L11" s="18">
        <v>28122</v>
      </c>
      <c r="M11" s="18">
        <v>27173</v>
      </c>
      <c r="N11" s="18">
        <v>26514</v>
      </c>
      <c r="O11" s="64">
        <f>SUM(C11:N11)</f>
        <v>357835</v>
      </c>
    </row>
    <row r="12" spans="2:15">
      <c r="B12" s="21" t="s">
        <v>68</v>
      </c>
      <c r="C12" s="64">
        <f t="shared" ref="C12:O12" si="0">SUM(C7:C11)</f>
        <v>152888</v>
      </c>
      <c r="D12" s="64">
        <f t="shared" si="0"/>
        <v>147081</v>
      </c>
      <c r="E12" s="64">
        <f t="shared" si="0"/>
        <v>153520</v>
      </c>
      <c r="F12" s="64">
        <f t="shared" si="0"/>
        <v>147399</v>
      </c>
      <c r="G12" s="64">
        <f t="shared" si="0"/>
        <v>142690</v>
      </c>
      <c r="H12" s="64">
        <f t="shared" si="0"/>
        <v>152174</v>
      </c>
      <c r="I12" s="64">
        <f t="shared" si="0"/>
        <v>145190</v>
      </c>
      <c r="J12" s="64">
        <f t="shared" si="0"/>
        <v>156136</v>
      </c>
      <c r="K12" s="64">
        <f t="shared" si="0"/>
        <v>148733</v>
      </c>
      <c r="L12" s="64">
        <f t="shared" si="0"/>
        <v>147033</v>
      </c>
      <c r="M12" s="64">
        <f t="shared" si="0"/>
        <v>146024</v>
      </c>
      <c r="N12" s="64">
        <f t="shared" si="0"/>
        <v>145600</v>
      </c>
      <c r="O12" s="65">
        <f t="shared" si="0"/>
        <v>1784468</v>
      </c>
    </row>
    <row r="14" spans="2:15">
      <c r="B14" s="14" t="s">
        <v>69</v>
      </c>
      <c r="C14" s="15"/>
      <c r="D14" s="15"/>
      <c r="E14" s="15"/>
      <c r="F14" s="15"/>
      <c r="G14" s="15"/>
    </row>
    <row r="15" spans="2:15">
      <c r="B15" s="16" t="s">
        <v>70</v>
      </c>
      <c r="C15" s="16" t="s">
        <v>16</v>
      </c>
      <c r="D15" s="16" t="s">
        <v>17</v>
      </c>
      <c r="E15" s="16" t="s">
        <v>18</v>
      </c>
      <c r="F15" s="16" t="s">
        <v>19</v>
      </c>
      <c r="G15" s="16" t="s">
        <v>20</v>
      </c>
    </row>
    <row r="16" spans="2:15" ht="15">
      <c r="B16" s="17" t="s">
        <v>82</v>
      </c>
      <c r="C16" s="18">
        <v>360000</v>
      </c>
      <c r="D16" s="18">
        <f>O7</f>
        <v>362609</v>
      </c>
      <c r="E16" s="18">
        <f t="shared" ref="E16:E21" si="1">D16-C16</f>
        <v>2609</v>
      </c>
      <c r="F16" s="19">
        <f t="shared" ref="F16:F21" si="2">IF(C16=0,0,(D16-C16)/C16)</f>
        <v>7.2472222222222226E-3</v>
      </c>
      <c r="G16" s="30" t="s">
        <v>43</v>
      </c>
    </row>
    <row r="17" spans="2:7" ht="15">
      <c r="B17" s="17" t="s">
        <v>102</v>
      </c>
      <c r="C17" s="18">
        <v>360000</v>
      </c>
      <c r="D17" s="18">
        <f>O8</f>
        <v>363412</v>
      </c>
      <c r="E17" s="18">
        <f t="shared" si="1"/>
        <v>3412</v>
      </c>
      <c r="F17" s="19">
        <f t="shared" si="2"/>
        <v>9.4777777777777777E-3</v>
      </c>
      <c r="G17" s="30" t="s">
        <v>43</v>
      </c>
    </row>
    <row r="18" spans="2:7" ht="15">
      <c r="B18" s="17" t="s">
        <v>103</v>
      </c>
      <c r="C18" s="18">
        <v>360000</v>
      </c>
      <c r="D18" s="18">
        <f>O9</f>
        <v>355046</v>
      </c>
      <c r="E18" s="18">
        <f t="shared" si="1"/>
        <v>-4954</v>
      </c>
      <c r="F18" s="19">
        <f t="shared" si="2"/>
        <v>-1.3761111111111111E-2</v>
      </c>
      <c r="G18" s="30" t="s">
        <v>43</v>
      </c>
    </row>
    <row r="19" spans="2:7" ht="15">
      <c r="B19" s="17" t="s">
        <v>104</v>
      </c>
      <c r="C19" s="18">
        <v>360000</v>
      </c>
      <c r="D19" s="18">
        <f>O10</f>
        <v>345566</v>
      </c>
      <c r="E19" s="18">
        <f t="shared" si="1"/>
        <v>-14434</v>
      </c>
      <c r="F19" s="19">
        <f t="shared" si="2"/>
        <v>-4.0094444444444446E-2</v>
      </c>
      <c r="G19" s="30" t="s">
        <v>43</v>
      </c>
    </row>
    <row r="20" spans="2:7" ht="15">
      <c r="B20" s="17" t="s">
        <v>105</v>
      </c>
      <c r="C20" s="18">
        <v>360000</v>
      </c>
      <c r="D20" s="18">
        <f>O11</f>
        <v>357835</v>
      </c>
      <c r="E20" s="18">
        <f t="shared" si="1"/>
        <v>-2165</v>
      </c>
      <c r="F20" s="19">
        <f t="shared" si="2"/>
        <v>-6.0138888888888889E-3</v>
      </c>
      <c r="G20" s="30" t="s">
        <v>43</v>
      </c>
    </row>
    <row r="21" spans="2:7" ht="15">
      <c r="B21" s="21" t="s">
        <v>68</v>
      </c>
      <c r="C21" s="64">
        <f>SUM(C16:C20)</f>
        <v>1800000</v>
      </c>
      <c r="D21" s="64">
        <f>SUM(D16:D20)</f>
        <v>1784468</v>
      </c>
      <c r="E21" s="64">
        <f t="shared" si="1"/>
        <v>-15532</v>
      </c>
      <c r="F21" s="22">
        <f t="shared" si="2"/>
        <v>-8.6288888888888891E-3</v>
      </c>
      <c r="G21" s="30" t="s">
        <v>43</v>
      </c>
    </row>
    <row r="23" spans="2:7">
      <c r="B23" s="14" t="s">
        <v>71</v>
      </c>
      <c r="C23" s="15"/>
      <c r="D23" s="15"/>
    </row>
    <row r="24" spans="2:7">
      <c r="B24" s="21" t="s">
        <v>72</v>
      </c>
      <c r="C24" s="31" t="s">
        <v>106</v>
      </c>
    </row>
    <row r="25" spans="2:7">
      <c r="B25" s="21" t="s">
        <v>74</v>
      </c>
      <c r="C25" s="31" t="s">
        <v>30</v>
      </c>
    </row>
    <row r="26" spans="2:7">
      <c r="B26" s="21" t="s">
        <v>75</v>
      </c>
      <c r="C26" s="32">
        <v>55</v>
      </c>
    </row>
    <row r="27" spans="2:7">
      <c r="B27" s="21" t="s">
        <v>76</v>
      </c>
      <c r="C27" s="31" t="s">
        <v>107</v>
      </c>
    </row>
  </sheetData>
  <conditionalFormatting sqref="F16:F21">
    <cfRule type="expression" dxfId="35" priority="7">
      <formula>$F16&gt;0.1</formula>
    </cfRule>
    <cfRule type="expression" dxfId="34" priority="8">
      <formula>AND($F16&gt;0,$F16&lt;=0.1)</formula>
    </cfRule>
    <cfRule type="expression" dxfId="33" priority="9">
      <formula>$F16&lt;=0</formula>
    </cfRule>
  </conditionalFormatting>
  <conditionalFormatting sqref="G16:G21">
    <cfRule type="expression" dxfId="32" priority="1">
      <formula>$F16&gt;0.1</formula>
    </cfRule>
    <cfRule type="expression" dxfId="31" priority="2">
      <formula>AND($F16&gt;0,$F16&lt;=0.1)</formula>
    </cfRule>
    <cfRule type="expression" dxfId="30" priority="3">
      <formula>$F16&lt;=0</formula>
    </cfRule>
  </conditionalFormatting>
  <hyperlinks>
    <hyperlink ref="H2" location="'Cost Center Summary'!A1" display="🏠 Summary"/>
  </hyperlink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7"/>
  <sheetViews>
    <sheetView showGridLines="0" zoomScaleNormal="100" workbookViewId="0">
      <selection activeCell="H2" sqref="H2"/>
    </sheetView>
  </sheetViews>
  <sheetFormatPr defaultColWidth="6" defaultRowHeight="13.8"/>
  <cols>
    <col min="1" max="1" width="3.5" style="12" customWidth="1"/>
    <col min="2" max="2" width="23.625" style="12" customWidth="1"/>
    <col min="3" max="3" width="13.375" style="12" customWidth="1"/>
    <col min="4" max="4" width="13.375" style="12" bestFit="1" customWidth="1"/>
    <col min="5" max="5" width="11.375" style="12" bestFit="1" customWidth="1"/>
    <col min="6" max="7" width="11.125" style="12" bestFit="1" customWidth="1"/>
    <col min="8" max="8" width="21.75" style="12" bestFit="1" customWidth="1"/>
    <col min="9" max="14" width="11.125" style="12" bestFit="1" customWidth="1"/>
    <col min="15" max="15" width="13.5" style="12" bestFit="1" customWidth="1"/>
    <col min="16" max="16384" width="6" style="12"/>
  </cols>
  <sheetData>
    <row r="2" spans="2:15" ht="21">
      <c r="B2" s="11" t="s">
        <v>108</v>
      </c>
      <c r="H2" s="61" t="s">
        <v>236</v>
      </c>
    </row>
    <row r="3" spans="2:15">
      <c r="B3" s="13" t="s">
        <v>48</v>
      </c>
    </row>
    <row r="5" spans="2:15">
      <c r="B5" s="14" t="s">
        <v>49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2:15">
      <c r="B6" s="16"/>
      <c r="C6" s="16" t="s">
        <v>50</v>
      </c>
      <c r="D6" s="16" t="s">
        <v>51</v>
      </c>
      <c r="E6" s="16" t="s">
        <v>52</v>
      </c>
      <c r="F6" s="16" t="s">
        <v>53</v>
      </c>
      <c r="G6" s="16" t="s">
        <v>54</v>
      </c>
      <c r="H6" s="16" t="s">
        <v>55</v>
      </c>
      <c r="I6" s="16" t="s">
        <v>56</v>
      </c>
      <c r="J6" s="16" t="s">
        <v>57</v>
      </c>
      <c r="K6" s="16" t="s">
        <v>58</v>
      </c>
      <c r="L6" s="16" t="s">
        <v>59</v>
      </c>
      <c r="M6" s="16" t="s">
        <v>60</v>
      </c>
      <c r="N6" s="16" t="s">
        <v>61</v>
      </c>
      <c r="O6" s="16" t="s">
        <v>62</v>
      </c>
    </row>
    <row r="7" spans="2:15">
      <c r="B7" s="28" t="s">
        <v>82</v>
      </c>
      <c r="C7" s="18">
        <v>26282</v>
      </c>
      <c r="D7" s="18">
        <v>27413</v>
      </c>
      <c r="E7" s="18">
        <v>22840</v>
      </c>
      <c r="F7" s="18">
        <v>21444</v>
      </c>
      <c r="G7" s="18">
        <v>23961</v>
      </c>
      <c r="H7" s="18">
        <v>22396</v>
      </c>
      <c r="I7" s="18">
        <v>22937</v>
      </c>
      <c r="J7" s="18">
        <v>22915</v>
      </c>
      <c r="K7" s="18">
        <v>26218</v>
      </c>
      <c r="L7" s="18">
        <v>24509</v>
      </c>
      <c r="M7" s="18">
        <v>25453</v>
      </c>
      <c r="N7" s="18">
        <v>24175</v>
      </c>
      <c r="O7" s="64">
        <f>SUM(C7:N7)</f>
        <v>290543</v>
      </c>
    </row>
    <row r="8" spans="2:15">
      <c r="B8" s="28" t="s">
        <v>109</v>
      </c>
      <c r="C8" s="18">
        <v>28627</v>
      </c>
      <c r="D8" s="18">
        <v>24977</v>
      </c>
      <c r="E8" s="18">
        <v>21569</v>
      </c>
      <c r="F8" s="18">
        <v>22294</v>
      </c>
      <c r="G8" s="18">
        <v>26734</v>
      </c>
      <c r="H8" s="18">
        <v>28094</v>
      </c>
      <c r="I8" s="18">
        <v>22194</v>
      </c>
      <c r="J8" s="18">
        <v>24700</v>
      </c>
      <c r="K8" s="18">
        <v>27716</v>
      </c>
      <c r="L8" s="18">
        <v>25388</v>
      </c>
      <c r="M8" s="18">
        <v>21380</v>
      </c>
      <c r="N8" s="18">
        <v>25156</v>
      </c>
      <c r="O8" s="64">
        <f>SUM(C8:N8)</f>
        <v>298829</v>
      </c>
    </row>
    <row r="9" spans="2:15">
      <c r="B9" s="28" t="s">
        <v>110</v>
      </c>
      <c r="C9" s="18">
        <v>23415</v>
      </c>
      <c r="D9" s="18">
        <v>22850</v>
      </c>
      <c r="E9" s="18">
        <v>28274</v>
      </c>
      <c r="F9" s="18">
        <v>22042</v>
      </c>
      <c r="G9" s="18">
        <v>27472</v>
      </c>
      <c r="H9" s="18">
        <v>26897</v>
      </c>
      <c r="I9" s="18">
        <v>25696</v>
      </c>
      <c r="J9" s="18">
        <v>23686</v>
      </c>
      <c r="K9" s="18">
        <v>21870</v>
      </c>
      <c r="L9" s="18">
        <v>26265</v>
      </c>
      <c r="M9" s="18">
        <v>28444</v>
      </c>
      <c r="N9" s="18">
        <v>22598</v>
      </c>
      <c r="O9" s="64">
        <f>SUM(C9:N9)</f>
        <v>299509</v>
      </c>
    </row>
    <row r="10" spans="2:15">
      <c r="B10" s="28" t="s">
        <v>111</v>
      </c>
      <c r="C10" s="18">
        <v>22196</v>
      </c>
      <c r="D10" s="18">
        <v>24813</v>
      </c>
      <c r="E10" s="18">
        <v>27635</v>
      </c>
      <c r="F10" s="18">
        <v>21289</v>
      </c>
      <c r="G10" s="18">
        <v>27166</v>
      </c>
      <c r="H10" s="18">
        <v>21897</v>
      </c>
      <c r="I10" s="18">
        <v>21492</v>
      </c>
      <c r="J10" s="18">
        <v>22348</v>
      </c>
      <c r="K10" s="18">
        <v>24682</v>
      </c>
      <c r="L10" s="18">
        <v>28277</v>
      </c>
      <c r="M10" s="18">
        <v>26209</v>
      </c>
      <c r="N10" s="18">
        <v>21697</v>
      </c>
      <c r="O10" s="64">
        <f>SUM(C10:N10)</f>
        <v>289701</v>
      </c>
    </row>
    <row r="11" spans="2:15">
      <c r="B11" s="28" t="s">
        <v>112</v>
      </c>
      <c r="C11" s="18">
        <v>22387</v>
      </c>
      <c r="D11" s="18">
        <v>24710</v>
      </c>
      <c r="E11" s="18">
        <v>21927</v>
      </c>
      <c r="F11" s="18">
        <v>26262</v>
      </c>
      <c r="G11" s="18">
        <v>23941</v>
      </c>
      <c r="H11" s="18">
        <v>28420</v>
      </c>
      <c r="I11" s="18">
        <v>27397</v>
      </c>
      <c r="J11" s="18">
        <v>27376</v>
      </c>
      <c r="K11" s="18">
        <v>23013</v>
      </c>
      <c r="L11" s="18">
        <v>24484</v>
      </c>
      <c r="M11" s="18">
        <v>26286</v>
      </c>
      <c r="N11" s="18">
        <v>21920</v>
      </c>
      <c r="O11" s="64">
        <f>SUM(C11:N11)</f>
        <v>298123</v>
      </c>
    </row>
    <row r="12" spans="2:15">
      <c r="B12" s="21" t="s">
        <v>68</v>
      </c>
      <c r="C12" s="64">
        <f t="shared" ref="C12:O12" si="0">SUM(C7:C11)</f>
        <v>122907</v>
      </c>
      <c r="D12" s="64">
        <f t="shared" si="0"/>
        <v>124763</v>
      </c>
      <c r="E12" s="64">
        <f t="shared" si="0"/>
        <v>122245</v>
      </c>
      <c r="F12" s="64">
        <f t="shared" si="0"/>
        <v>113331</v>
      </c>
      <c r="G12" s="64">
        <f t="shared" si="0"/>
        <v>129274</v>
      </c>
      <c r="H12" s="64">
        <f t="shared" si="0"/>
        <v>127704</v>
      </c>
      <c r="I12" s="64">
        <f t="shared" si="0"/>
        <v>119716</v>
      </c>
      <c r="J12" s="64">
        <f t="shared" si="0"/>
        <v>121025</v>
      </c>
      <c r="K12" s="64">
        <f t="shared" si="0"/>
        <v>123499</v>
      </c>
      <c r="L12" s="64">
        <f t="shared" si="0"/>
        <v>128923</v>
      </c>
      <c r="M12" s="64">
        <f t="shared" si="0"/>
        <v>127772</v>
      </c>
      <c r="N12" s="64">
        <f t="shared" si="0"/>
        <v>115546</v>
      </c>
      <c r="O12" s="65">
        <f t="shared" si="0"/>
        <v>1476705</v>
      </c>
    </row>
    <row r="14" spans="2:15">
      <c r="B14" s="14" t="s">
        <v>69</v>
      </c>
      <c r="C14" s="15"/>
      <c r="D14" s="15"/>
      <c r="E14" s="15"/>
      <c r="F14" s="15"/>
      <c r="G14" s="15"/>
    </row>
    <row r="15" spans="2:15">
      <c r="B15" s="16" t="s">
        <v>70</v>
      </c>
      <c r="C15" s="16" t="s">
        <v>16</v>
      </c>
      <c r="D15" s="16" t="s">
        <v>17</v>
      </c>
      <c r="E15" s="16" t="s">
        <v>18</v>
      </c>
      <c r="F15" s="16" t="s">
        <v>19</v>
      </c>
      <c r="G15" s="16" t="s">
        <v>20</v>
      </c>
    </row>
    <row r="16" spans="2:15" ht="15">
      <c r="B16" s="17" t="s">
        <v>82</v>
      </c>
      <c r="C16" s="18">
        <v>300000</v>
      </c>
      <c r="D16" s="18">
        <f>O7</f>
        <v>290543</v>
      </c>
      <c r="E16" s="18">
        <f t="shared" ref="E16:E21" si="1">D16-C16</f>
        <v>-9457</v>
      </c>
      <c r="F16" s="19">
        <f t="shared" ref="F16:F21" si="2">IF(C16=0,0,(D16-C16)/C16)</f>
        <v>-3.1523333333333334E-2</v>
      </c>
      <c r="G16" s="30" t="s">
        <v>43</v>
      </c>
    </row>
    <row r="17" spans="2:7" ht="15">
      <c r="B17" s="17" t="s">
        <v>109</v>
      </c>
      <c r="C17" s="18">
        <v>300000</v>
      </c>
      <c r="D17" s="18">
        <f>O8</f>
        <v>298829</v>
      </c>
      <c r="E17" s="18">
        <f t="shared" si="1"/>
        <v>-1171</v>
      </c>
      <c r="F17" s="19">
        <f t="shared" si="2"/>
        <v>-3.9033333333333333E-3</v>
      </c>
      <c r="G17" s="30" t="s">
        <v>43</v>
      </c>
    </row>
    <row r="18" spans="2:7" ht="15">
      <c r="B18" s="17" t="s">
        <v>110</v>
      </c>
      <c r="C18" s="18">
        <v>300000</v>
      </c>
      <c r="D18" s="18">
        <f>O9</f>
        <v>299509</v>
      </c>
      <c r="E18" s="18">
        <f t="shared" si="1"/>
        <v>-491</v>
      </c>
      <c r="F18" s="19">
        <f t="shared" si="2"/>
        <v>-1.6366666666666667E-3</v>
      </c>
      <c r="G18" s="30" t="s">
        <v>43</v>
      </c>
    </row>
    <row r="19" spans="2:7" ht="15">
      <c r="B19" s="17" t="s">
        <v>111</v>
      </c>
      <c r="C19" s="18">
        <v>300000</v>
      </c>
      <c r="D19" s="18">
        <f>O10</f>
        <v>289701</v>
      </c>
      <c r="E19" s="18">
        <f t="shared" si="1"/>
        <v>-10299</v>
      </c>
      <c r="F19" s="19">
        <f t="shared" si="2"/>
        <v>-3.4329999999999999E-2</v>
      </c>
      <c r="G19" s="30" t="s">
        <v>43</v>
      </c>
    </row>
    <row r="20" spans="2:7" ht="15">
      <c r="B20" s="17" t="s">
        <v>112</v>
      </c>
      <c r="C20" s="18">
        <v>300000</v>
      </c>
      <c r="D20" s="18">
        <f>O11</f>
        <v>298123</v>
      </c>
      <c r="E20" s="18">
        <f t="shared" si="1"/>
        <v>-1877</v>
      </c>
      <c r="F20" s="19">
        <f t="shared" si="2"/>
        <v>-6.2566666666666665E-3</v>
      </c>
      <c r="G20" s="30" t="s">
        <v>43</v>
      </c>
    </row>
    <row r="21" spans="2:7" ht="15">
      <c r="B21" s="21" t="s">
        <v>68</v>
      </c>
      <c r="C21" s="64">
        <f>SUM(C16:C20)</f>
        <v>1500000</v>
      </c>
      <c r="D21" s="64">
        <f>SUM(D16:D20)</f>
        <v>1476705</v>
      </c>
      <c r="E21" s="64">
        <f t="shared" si="1"/>
        <v>-23295</v>
      </c>
      <c r="F21" s="22">
        <f t="shared" si="2"/>
        <v>-1.553E-2</v>
      </c>
      <c r="G21" s="30" t="s">
        <v>43</v>
      </c>
    </row>
    <row r="23" spans="2:7">
      <c r="B23" s="14" t="s">
        <v>71</v>
      </c>
      <c r="C23" s="15"/>
      <c r="D23" s="15"/>
    </row>
    <row r="24" spans="2:7">
      <c r="B24" s="21" t="s">
        <v>72</v>
      </c>
      <c r="C24" s="31" t="s">
        <v>113</v>
      </c>
    </row>
    <row r="25" spans="2:7">
      <c r="B25" s="21" t="s">
        <v>74</v>
      </c>
      <c r="C25" s="31" t="s">
        <v>32</v>
      </c>
    </row>
    <row r="26" spans="2:7">
      <c r="B26" s="21" t="s">
        <v>75</v>
      </c>
      <c r="C26" s="32">
        <v>40</v>
      </c>
    </row>
    <row r="27" spans="2:7">
      <c r="B27" s="21" t="s">
        <v>76</v>
      </c>
      <c r="C27" s="31" t="s">
        <v>107</v>
      </c>
    </row>
  </sheetData>
  <conditionalFormatting sqref="F16:F21">
    <cfRule type="expression" dxfId="29" priority="7">
      <formula>$F16&gt;0.1</formula>
    </cfRule>
    <cfRule type="expression" dxfId="28" priority="8">
      <formula>AND($F16&gt;0,$F16&lt;=0.1)</formula>
    </cfRule>
    <cfRule type="expression" dxfId="27" priority="9">
      <formula>$F16&lt;=0</formula>
    </cfRule>
  </conditionalFormatting>
  <conditionalFormatting sqref="G16:G21">
    <cfRule type="expression" dxfId="26" priority="1">
      <formula>$F16&gt;0.1</formula>
    </cfRule>
    <cfRule type="expression" dxfId="25" priority="2">
      <formula>AND($F16&gt;0,$F16&lt;=0.1)</formula>
    </cfRule>
    <cfRule type="expression" dxfId="24" priority="3">
      <formula>$F16&lt;=0</formula>
    </cfRule>
  </conditionalFormatting>
  <hyperlinks>
    <hyperlink ref="H2" location="'Cost Center Summary'!A1" display="🏠 Summary"/>
  </hyperlink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7"/>
  <sheetViews>
    <sheetView showGridLines="0" zoomScaleNormal="100" workbookViewId="0">
      <selection activeCell="H2" sqref="H2"/>
    </sheetView>
  </sheetViews>
  <sheetFormatPr defaultColWidth="6" defaultRowHeight="13.8"/>
  <cols>
    <col min="1" max="1" width="3.5" style="12" customWidth="1"/>
    <col min="2" max="2" width="23.625" style="12" customWidth="1"/>
    <col min="3" max="3" width="13.375" style="12" customWidth="1"/>
    <col min="4" max="4" width="13.5" style="12" bestFit="1" customWidth="1"/>
    <col min="5" max="5" width="11.125" style="12" customWidth="1"/>
    <col min="6" max="7" width="11.125" style="12" bestFit="1" customWidth="1"/>
    <col min="8" max="8" width="21.75" style="12" bestFit="1" customWidth="1"/>
    <col min="9" max="13" width="11.125" style="12" bestFit="1" customWidth="1"/>
    <col min="14" max="14" width="13.375" style="12" bestFit="1" customWidth="1"/>
    <col min="15" max="15" width="13.5" style="12" bestFit="1" customWidth="1"/>
    <col min="16" max="16384" width="6" style="12"/>
  </cols>
  <sheetData>
    <row r="2" spans="2:15" ht="21">
      <c r="B2" s="11" t="s">
        <v>114</v>
      </c>
      <c r="H2" s="61" t="s">
        <v>236</v>
      </c>
    </row>
    <row r="3" spans="2:15">
      <c r="B3" s="13" t="s">
        <v>48</v>
      </c>
    </row>
    <row r="5" spans="2:15">
      <c r="B5" s="14" t="s">
        <v>49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2:15">
      <c r="B6" s="16"/>
      <c r="C6" s="16" t="s">
        <v>50</v>
      </c>
      <c r="D6" s="16" t="s">
        <v>51</v>
      </c>
      <c r="E6" s="16" t="s">
        <v>52</v>
      </c>
      <c r="F6" s="16" t="s">
        <v>53</v>
      </c>
      <c r="G6" s="16" t="s">
        <v>54</v>
      </c>
      <c r="H6" s="16" t="s">
        <v>55</v>
      </c>
      <c r="I6" s="16" t="s">
        <v>56</v>
      </c>
      <c r="J6" s="16" t="s">
        <v>57</v>
      </c>
      <c r="K6" s="16" t="s">
        <v>58</v>
      </c>
      <c r="L6" s="16" t="s">
        <v>59</v>
      </c>
      <c r="M6" s="16" t="s">
        <v>60</v>
      </c>
      <c r="N6" s="16" t="s">
        <v>61</v>
      </c>
      <c r="O6" s="16" t="s">
        <v>62</v>
      </c>
    </row>
    <row r="7" spans="2:15">
      <c r="B7" s="28" t="s">
        <v>115</v>
      </c>
      <c r="C7" s="18">
        <v>49750</v>
      </c>
      <c r="D7" s="18">
        <v>55312</v>
      </c>
      <c r="E7" s="18">
        <v>56595</v>
      </c>
      <c r="F7" s="18">
        <v>63353</v>
      </c>
      <c r="G7" s="18">
        <v>63839</v>
      </c>
      <c r="H7" s="18">
        <v>50597</v>
      </c>
      <c r="I7" s="18">
        <v>50713</v>
      </c>
      <c r="J7" s="18">
        <v>65766</v>
      </c>
      <c r="K7" s="18">
        <v>54624</v>
      </c>
      <c r="L7" s="18">
        <v>51772</v>
      </c>
      <c r="M7" s="18">
        <v>63454</v>
      </c>
      <c r="N7" s="18">
        <v>93320</v>
      </c>
      <c r="O7" s="64">
        <f>SUM(C7:N7)</f>
        <v>719095</v>
      </c>
    </row>
    <row r="8" spans="2:15">
      <c r="B8" s="28" t="s">
        <v>116</v>
      </c>
      <c r="C8" s="18">
        <v>60165</v>
      </c>
      <c r="D8" s="18">
        <v>63013</v>
      </c>
      <c r="E8" s="18">
        <v>64626</v>
      </c>
      <c r="F8" s="18">
        <v>64513</v>
      </c>
      <c r="G8" s="18">
        <v>54190</v>
      </c>
      <c r="H8" s="18">
        <v>56948</v>
      </c>
      <c r="I8" s="18">
        <v>66811</v>
      </c>
      <c r="J8" s="18">
        <v>56018</v>
      </c>
      <c r="K8" s="18">
        <v>60539</v>
      </c>
      <c r="L8" s="18">
        <v>64397</v>
      </c>
      <c r="M8" s="18">
        <v>64927</v>
      </c>
      <c r="N8" s="18">
        <v>900129</v>
      </c>
      <c r="O8" s="64">
        <f>SUM(C8:N8)</f>
        <v>1576276</v>
      </c>
    </row>
    <row r="9" spans="2:15">
      <c r="B9" s="28" t="s">
        <v>117</v>
      </c>
      <c r="C9" s="18">
        <v>55705</v>
      </c>
      <c r="D9" s="18">
        <v>61662</v>
      </c>
      <c r="E9" s="18">
        <v>49640</v>
      </c>
      <c r="F9" s="18">
        <v>55717</v>
      </c>
      <c r="G9" s="18">
        <v>62863</v>
      </c>
      <c r="H9" s="18">
        <v>60898</v>
      </c>
      <c r="I9" s="18">
        <v>50981</v>
      </c>
      <c r="J9" s="18">
        <v>62176</v>
      </c>
      <c r="K9" s="18">
        <v>60258</v>
      </c>
      <c r="L9" s="18">
        <v>57365</v>
      </c>
      <c r="M9" s="18">
        <v>51414</v>
      </c>
      <c r="N9" s="18">
        <v>60019</v>
      </c>
      <c r="O9" s="64">
        <f>SUM(C9:N9)</f>
        <v>688698</v>
      </c>
    </row>
    <row r="10" spans="2:15">
      <c r="B10" s="28" t="s">
        <v>118</v>
      </c>
      <c r="C10" s="18">
        <v>62630</v>
      </c>
      <c r="D10" s="18">
        <v>53061</v>
      </c>
      <c r="E10" s="18">
        <v>60694</v>
      </c>
      <c r="F10" s="18">
        <v>50818</v>
      </c>
      <c r="G10" s="18">
        <v>53176</v>
      </c>
      <c r="H10" s="18">
        <v>55853</v>
      </c>
      <c r="I10" s="18">
        <v>63198</v>
      </c>
      <c r="J10" s="18">
        <v>54541</v>
      </c>
      <c r="K10" s="18">
        <v>65163</v>
      </c>
      <c r="L10" s="18">
        <v>66787</v>
      </c>
      <c r="M10" s="18">
        <v>52442</v>
      </c>
      <c r="N10" s="18">
        <v>50050</v>
      </c>
      <c r="O10" s="64">
        <f>SUM(C10:N10)</f>
        <v>688413</v>
      </c>
    </row>
    <row r="11" spans="2:15">
      <c r="B11" s="28" t="s">
        <v>119</v>
      </c>
      <c r="C11" s="18">
        <v>62335</v>
      </c>
      <c r="D11" s="18">
        <v>62959</v>
      </c>
      <c r="E11" s="18">
        <v>65349</v>
      </c>
      <c r="F11" s="18">
        <v>61351</v>
      </c>
      <c r="G11" s="18">
        <v>63235</v>
      </c>
      <c r="H11" s="18">
        <v>55979</v>
      </c>
      <c r="I11" s="18">
        <v>51347</v>
      </c>
      <c r="J11" s="18">
        <v>67081</v>
      </c>
      <c r="K11" s="18">
        <v>60165</v>
      </c>
      <c r="L11" s="18">
        <v>54316</v>
      </c>
      <c r="M11" s="18">
        <v>65206</v>
      </c>
      <c r="N11" s="18">
        <v>60871</v>
      </c>
      <c r="O11" s="64">
        <f>SUM(C11:N11)</f>
        <v>730194</v>
      </c>
    </row>
    <row r="12" spans="2:15">
      <c r="B12" s="21" t="s">
        <v>68</v>
      </c>
      <c r="C12" s="64">
        <f t="shared" ref="C12:N12" si="0">SUM(C7:C11)</f>
        <v>290585</v>
      </c>
      <c r="D12" s="64">
        <f t="shared" si="0"/>
        <v>296007</v>
      </c>
      <c r="E12" s="64">
        <f t="shared" si="0"/>
        <v>296904</v>
      </c>
      <c r="F12" s="64">
        <f t="shared" si="0"/>
        <v>295752</v>
      </c>
      <c r="G12" s="64">
        <f t="shared" si="0"/>
        <v>297303</v>
      </c>
      <c r="H12" s="64">
        <f t="shared" si="0"/>
        <v>280275</v>
      </c>
      <c r="I12" s="64">
        <f t="shared" si="0"/>
        <v>283050</v>
      </c>
      <c r="J12" s="64">
        <f t="shared" si="0"/>
        <v>305582</v>
      </c>
      <c r="K12" s="64">
        <f t="shared" si="0"/>
        <v>300749</v>
      </c>
      <c r="L12" s="64">
        <f t="shared" si="0"/>
        <v>294637</v>
      </c>
      <c r="M12" s="64">
        <f t="shared" si="0"/>
        <v>297443</v>
      </c>
      <c r="N12" s="64">
        <f t="shared" si="0"/>
        <v>1164389</v>
      </c>
      <c r="O12" s="65">
        <f>SUM(O7:O11)</f>
        <v>4402676</v>
      </c>
    </row>
    <row r="14" spans="2:15">
      <c r="B14" s="14" t="s">
        <v>69</v>
      </c>
      <c r="C14" s="15"/>
      <c r="D14" s="15"/>
      <c r="E14" s="15"/>
      <c r="F14" s="15"/>
      <c r="G14" s="15"/>
    </row>
    <row r="15" spans="2:15">
      <c r="B15" s="16" t="s">
        <v>70</v>
      </c>
      <c r="C15" s="16" t="s">
        <v>16</v>
      </c>
      <c r="D15" s="16" t="s">
        <v>17</v>
      </c>
      <c r="E15" s="16" t="s">
        <v>18</v>
      </c>
      <c r="F15" s="16" t="s">
        <v>19</v>
      </c>
      <c r="G15" s="16" t="s">
        <v>20</v>
      </c>
    </row>
    <row r="16" spans="2:15" ht="15">
      <c r="B16" s="17" t="s">
        <v>115</v>
      </c>
      <c r="C16" s="18">
        <v>700000</v>
      </c>
      <c r="D16" s="18">
        <f>O7</f>
        <v>719095</v>
      </c>
      <c r="E16" s="18">
        <f t="shared" ref="E16:E21" si="1">D16-C16</f>
        <v>19095</v>
      </c>
      <c r="F16" s="19">
        <f t="shared" ref="F16:F21" si="2">IF(C16=0,0,(D16-C16)/C16)</f>
        <v>2.727857142857143E-2</v>
      </c>
      <c r="G16" s="30" t="s">
        <v>43</v>
      </c>
    </row>
    <row r="17" spans="2:7" ht="15">
      <c r="B17" s="17" t="s">
        <v>116</v>
      </c>
      <c r="C17" s="18">
        <v>700000</v>
      </c>
      <c r="D17" s="18">
        <f>O8</f>
        <v>1576276</v>
      </c>
      <c r="E17" s="18">
        <f t="shared" si="1"/>
        <v>876276</v>
      </c>
      <c r="F17" s="19">
        <f t="shared" si="2"/>
        <v>1.2518228571428571</v>
      </c>
      <c r="G17" s="30" t="s">
        <v>43</v>
      </c>
    </row>
    <row r="18" spans="2:7" ht="15">
      <c r="B18" s="17" t="s">
        <v>117</v>
      </c>
      <c r="C18" s="18">
        <v>700000</v>
      </c>
      <c r="D18" s="18">
        <f>O9</f>
        <v>688698</v>
      </c>
      <c r="E18" s="18">
        <f t="shared" si="1"/>
        <v>-11302</v>
      </c>
      <c r="F18" s="19">
        <f t="shared" si="2"/>
        <v>-1.6145714285714284E-2</v>
      </c>
      <c r="G18" s="30" t="s">
        <v>43</v>
      </c>
    </row>
    <row r="19" spans="2:7" ht="15">
      <c r="B19" s="17" t="s">
        <v>118</v>
      </c>
      <c r="C19" s="18">
        <v>700000</v>
      </c>
      <c r="D19" s="18">
        <f>O10</f>
        <v>688413</v>
      </c>
      <c r="E19" s="18">
        <f t="shared" si="1"/>
        <v>-11587</v>
      </c>
      <c r="F19" s="19">
        <f t="shared" si="2"/>
        <v>-1.6552857142857143E-2</v>
      </c>
      <c r="G19" s="30" t="s">
        <v>43</v>
      </c>
    </row>
    <row r="20" spans="2:7" ht="15">
      <c r="B20" s="17" t="s">
        <v>119</v>
      </c>
      <c r="C20" s="18">
        <v>700000</v>
      </c>
      <c r="D20" s="18">
        <f>O11</f>
        <v>730194</v>
      </c>
      <c r="E20" s="18">
        <f t="shared" si="1"/>
        <v>30194</v>
      </c>
      <c r="F20" s="19">
        <f t="shared" si="2"/>
        <v>4.3134285714285715E-2</v>
      </c>
      <c r="G20" s="30" t="s">
        <v>43</v>
      </c>
    </row>
    <row r="21" spans="2:7" ht="15">
      <c r="B21" s="21" t="s">
        <v>68</v>
      </c>
      <c r="C21" s="64">
        <f>SUM(C16:C20)</f>
        <v>3500000</v>
      </c>
      <c r="D21" s="64">
        <f>SUM(D16:D20)</f>
        <v>4402676</v>
      </c>
      <c r="E21" s="64">
        <f t="shared" si="1"/>
        <v>902676</v>
      </c>
      <c r="F21" s="22">
        <f t="shared" si="2"/>
        <v>0.25790742857142857</v>
      </c>
      <c r="G21" s="30" t="s">
        <v>43</v>
      </c>
    </row>
    <row r="23" spans="2:7">
      <c r="B23" s="14" t="s">
        <v>71</v>
      </c>
      <c r="C23" s="15"/>
      <c r="D23" s="15"/>
    </row>
    <row r="24" spans="2:7">
      <c r="B24" s="21" t="s">
        <v>72</v>
      </c>
      <c r="C24" s="31" t="s">
        <v>120</v>
      </c>
    </row>
    <row r="25" spans="2:7">
      <c r="B25" s="21" t="s">
        <v>74</v>
      </c>
      <c r="C25" s="31" t="s">
        <v>34</v>
      </c>
    </row>
    <row r="26" spans="2:7">
      <c r="B26" s="21" t="s">
        <v>75</v>
      </c>
      <c r="C26" s="32">
        <v>95</v>
      </c>
    </row>
    <row r="27" spans="2:7">
      <c r="B27" s="21" t="s">
        <v>76</v>
      </c>
      <c r="C27" s="31" t="s">
        <v>93</v>
      </c>
    </row>
  </sheetData>
  <conditionalFormatting sqref="F16:F21">
    <cfRule type="expression" dxfId="23" priority="7">
      <formula>$F16&gt;0.1</formula>
    </cfRule>
    <cfRule type="expression" dxfId="22" priority="8">
      <formula>AND($F16&gt;0,$F16&lt;=0.1)</formula>
    </cfRule>
    <cfRule type="expression" dxfId="21" priority="9">
      <formula>$F16&lt;=0</formula>
    </cfRule>
  </conditionalFormatting>
  <conditionalFormatting sqref="G16:G21">
    <cfRule type="expression" dxfId="20" priority="1">
      <formula>$F16&gt;0.1</formula>
    </cfRule>
    <cfRule type="expression" dxfId="19" priority="2">
      <formula>AND($F16&gt;0,$F16&lt;=0.1)</formula>
    </cfRule>
    <cfRule type="expression" dxfId="18" priority="3">
      <formula>$F16&lt;=0</formula>
    </cfRule>
  </conditionalFormatting>
  <hyperlinks>
    <hyperlink ref="H2" location="'Cost Center Summary'!A1" display="🏠 Summary"/>
  </hyperlink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7"/>
  <sheetViews>
    <sheetView showGridLines="0" zoomScaleNormal="100" workbookViewId="0">
      <selection activeCell="H2" sqref="H2"/>
    </sheetView>
  </sheetViews>
  <sheetFormatPr defaultColWidth="6" defaultRowHeight="13.8"/>
  <cols>
    <col min="1" max="1" width="3.5" style="12" customWidth="1"/>
    <col min="2" max="2" width="23.625" style="12" customWidth="1"/>
    <col min="3" max="3" width="13.375" style="12" customWidth="1"/>
    <col min="4" max="4" width="13.375" style="12" bestFit="1" customWidth="1"/>
    <col min="5" max="5" width="11.375" style="12" bestFit="1" customWidth="1"/>
    <col min="6" max="7" width="11.125" style="12" bestFit="1" customWidth="1"/>
    <col min="8" max="8" width="21.75" style="12" bestFit="1" customWidth="1"/>
    <col min="9" max="14" width="11.125" style="12" bestFit="1" customWidth="1"/>
    <col min="15" max="15" width="13.5" style="12" bestFit="1" customWidth="1"/>
    <col min="16" max="16384" width="6" style="12"/>
  </cols>
  <sheetData>
    <row r="2" spans="2:15" ht="21">
      <c r="B2" s="11" t="s">
        <v>121</v>
      </c>
      <c r="H2" s="61" t="s">
        <v>236</v>
      </c>
    </row>
    <row r="3" spans="2:15">
      <c r="B3" s="13" t="s">
        <v>48</v>
      </c>
    </row>
    <row r="5" spans="2:15">
      <c r="B5" s="14" t="s">
        <v>49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2:15">
      <c r="B6" s="16"/>
      <c r="C6" s="16" t="s">
        <v>50</v>
      </c>
      <c r="D6" s="16" t="s">
        <v>51</v>
      </c>
      <c r="E6" s="16" t="s">
        <v>52</v>
      </c>
      <c r="F6" s="16" t="s">
        <v>53</v>
      </c>
      <c r="G6" s="16" t="s">
        <v>54</v>
      </c>
      <c r="H6" s="16" t="s">
        <v>55</v>
      </c>
      <c r="I6" s="16" t="s">
        <v>56</v>
      </c>
      <c r="J6" s="16" t="s">
        <v>57</v>
      </c>
      <c r="K6" s="16" t="s">
        <v>58</v>
      </c>
      <c r="L6" s="16" t="s">
        <v>59</v>
      </c>
      <c r="M6" s="16" t="s">
        <v>60</v>
      </c>
      <c r="N6" s="16" t="s">
        <v>61</v>
      </c>
      <c r="O6" s="16" t="s">
        <v>62</v>
      </c>
    </row>
    <row r="7" spans="2:15">
      <c r="B7" s="28" t="s">
        <v>122</v>
      </c>
      <c r="C7" s="18">
        <v>20230</v>
      </c>
      <c r="D7" s="18">
        <v>21617</v>
      </c>
      <c r="E7" s="18">
        <v>20743</v>
      </c>
      <c r="F7" s="18">
        <v>22708</v>
      </c>
      <c r="G7" s="18">
        <v>24180</v>
      </c>
      <c r="H7" s="18">
        <v>23469</v>
      </c>
      <c r="I7" s="18">
        <v>23709</v>
      </c>
      <c r="J7" s="18">
        <v>20668</v>
      </c>
      <c r="K7" s="18">
        <v>23577</v>
      </c>
      <c r="L7" s="18">
        <v>26659</v>
      </c>
      <c r="M7" s="18">
        <v>22141</v>
      </c>
      <c r="N7" s="18">
        <v>60428</v>
      </c>
      <c r="O7" s="64">
        <f>SUM(C7:N7)</f>
        <v>310129</v>
      </c>
    </row>
    <row r="8" spans="2:15">
      <c r="B8" s="28" t="s">
        <v>123</v>
      </c>
      <c r="C8" s="18">
        <v>24299</v>
      </c>
      <c r="D8" s="18">
        <v>25167</v>
      </c>
      <c r="E8" s="18">
        <v>24438</v>
      </c>
      <c r="F8" s="18">
        <v>22909</v>
      </c>
      <c r="G8" s="18">
        <v>21478</v>
      </c>
      <c r="H8" s="18">
        <v>20488</v>
      </c>
      <c r="I8" s="18">
        <v>20626</v>
      </c>
      <c r="J8" s="18">
        <v>20539</v>
      </c>
      <c r="K8" s="18">
        <v>25204</v>
      </c>
      <c r="L8" s="18">
        <v>25694</v>
      </c>
      <c r="M8" s="18">
        <v>25556</v>
      </c>
      <c r="N8" s="18">
        <v>26026</v>
      </c>
      <c r="O8" s="64">
        <f>SUM(C8:N8)</f>
        <v>282424</v>
      </c>
    </row>
    <row r="9" spans="2:15">
      <c r="B9" s="28" t="s">
        <v>124</v>
      </c>
      <c r="C9" s="18">
        <v>22344</v>
      </c>
      <c r="D9" s="18">
        <v>24551</v>
      </c>
      <c r="E9" s="18">
        <v>25575</v>
      </c>
      <c r="F9" s="18">
        <v>20759</v>
      </c>
      <c r="G9" s="18">
        <v>19835</v>
      </c>
      <c r="H9" s="18">
        <v>21300</v>
      </c>
      <c r="I9" s="18">
        <v>26243</v>
      </c>
      <c r="J9" s="18">
        <v>25487</v>
      </c>
      <c r="K9" s="18">
        <v>20740</v>
      </c>
      <c r="L9" s="18">
        <v>25763</v>
      </c>
      <c r="M9" s="18">
        <v>21055</v>
      </c>
      <c r="N9" s="18">
        <v>21700</v>
      </c>
      <c r="O9" s="64">
        <f>SUM(C9:N9)</f>
        <v>275352</v>
      </c>
    </row>
    <row r="10" spans="2:15">
      <c r="B10" s="28" t="s">
        <v>125</v>
      </c>
      <c r="C10" s="18">
        <v>21010</v>
      </c>
      <c r="D10" s="18">
        <v>26020</v>
      </c>
      <c r="E10" s="18">
        <v>25629</v>
      </c>
      <c r="F10" s="18">
        <v>20287</v>
      </c>
      <c r="G10" s="18">
        <v>20000</v>
      </c>
      <c r="H10" s="18">
        <v>25371</v>
      </c>
      <c r="I10" s="18">
        <v>22589</v>
      </c>
      <c r="J10" s="18">
        <v>23812</v>
      </c>
      <c r="K10" s="18">
        <v>24300</v>
      </c>
      <c r="L10" s="18">
        <v>23638</v>
      </c>
      <c r="M10" s="18">
        <v>21149</v>
      </c>
      <c r="N10" s="18">
        <v>22005</v>
      </c>
      <c r="O10" s="64">
        <f>SUM(C10:N10)</f>
        <v>275810</v>
      </c>
    </row>
    <row r="11" spans="2:15">
      <c r="B11" s="28" t="s">
        <v>126</v>
      </c>
      <c r="C11" s="18">
        <v>24015</v>
      </c>
      <c r="D11" s="18">
        <v>25323</v>
      </c>
      <c r="E11" s="18">
        <v>22200</v>
      </c>
      <c r="F11" s="18">
        <v>19991</v>
      </c>
      <c r="G11" s="18">
        <v>20850</v>
      </c>
      <c r="H11" s="18">
        <v>21827</v>
      </c>
      <c r="I11" s="18">
        <v>26561</v>
      </c>
      <c r="J11" s="18">
        <v>22822</v>
      </c>
      <c r="K11" s="18">
        <v>23315</v>
      </c>
      <c r="L11" s="18">
        <v>22792</v>
      </c>
      <c r="M11" s="18">
        <v>25896</v>
      </c>
      <c r="N11" s="18">
        <v>25437</v>
      </c>
      <c r="O11" s="64">
        <f>SUM(C11:N11)</f>
        <v>281029</v>
      </c>
    </row>
    <row r="12" spans="2:15">
      <c r="B12" s="21" t="s">
        <v>68</v>
      </c>
      <c r="C12" s="64">
        <f t="shared" ref="C12:O12" si="0">SUM(C7:C11)</f>
        <v>111898</v>
      </c>
      <c r="D12" s="64">
        <f t="shared" si="0"/>
        <v>122678</v>
      </c>
      <c r="E12" s="64">
        <f t="shared" si="0"/>
        <v>118585</v>
      </c>
      <c r="F12" s="64">
        <f t="shared" si="0"/>
        <v>106654</v>
      </c>
      <c r="G12" s="64">
        <f t="shared" si="0"/>
        <v>106343</v>
      </c>
      <c r="H12" s="64">
        <f t="shared" si="0"/>
        <v>112455</v>
      </c>
      <c r="I12" s="64">
        <f t="shared" si="0"/>
        <v>119728</v>
      </c>
      <c r="J12" s="64">
        <f t="shared" si="0"/>
        <v>113328</v>
      </c>
      <c r="K12" s="64">
        <f t="shared" si="0"/>
        <v>117136</v>
      </c>
      <c r="L12" s="64">
        <f t="shared" si="0"/>
        <v>124546</v>
      </c>
      <c r="M12" s="64">
        <f t="shared" si="0"/>
        <v>115797</v>
      </c>
      <c r="N12" s="64">
        <f t="shared" si="0"/>
        <v>155596</v>
      </c>
      <c r="O12" s="65">
        <f t="shared" si="0"/>
        <v>1424744</v>
      </c>
    </row>
    <row r="14" spans="2:15">
      <c r="B14" s="14" t="s">
        <v>69</v>
      </c>
      <c r="C14" s="15"/>
      <c r="D14" s="15"/>
      <c r="E14" s="15"/>
      <c r="F14" s="15"/>
      <c r="G14" s="15"/>
    </row>
    <row r="15" spans="2:15">
      <c r="B15" s="16" t="s">
        <v>70</v>
      </c>
      <c r="C15" s="16" t="s">
        <v>16</v>
      </c>
      <c r="D15" s="16" t="s">
        <v>17</v>
      </c>
      <c r="E15" s="16" t="s">
        <v>18</v>
      </c>
      <c r="F15" s="16" t="s">
        <v>19</v>
      </c>
      <c r="G15" s="16" t="s">
        <v>20</v>
      </c>
    </row>
    <row r="16" spans="2:15" ht="15">
      <c r="B16" s="17" t="s">
        <v>122</v>
      </c>
      <c r="C16" s="18">
        <v>280000</v>
      </c>
      <c r="D16" s="18">
        <f>O7</f>
        <v>310129</v>
      </c>
      <c r="E16" s="18">
        <f t="shared" ref="E16:E21" si="1">D16-C16</f>
        <v>30129</v>
      </c>
      <c r="F16" s="19">
        <f t="shared" ref="F16:F21" si="2">IF(C16=0,0,(D16-C16)/C16)</f>
        <v>0.10760357142857142</v>
      </c>
      <c r="G16" s="30" t="s">
        <v>43</v>
      </c>
    </row>
    <row r="17" spans="2:7" ht="15">
      <c r="B17" s="17" t="s">
        <v>123</v>
      </c>
      <c r="C17" s="18">
        <v>280000</v>
      </c>
      <c r="D17" s="18">
        <f>O8</f>
        <v>282424</v>
      </c>
      <c r="E17" s="18">
        <f t="shared" si="1"/>
        <v>2424</v>
      </c>
      <c r="F17" s="19">
        <f t="shared" si="2"/>
        <v>8.6571428571428563E-3</v>
      </c>
      <c r="G17" s="30" t="s">
        <v>43</v>
      </c>
    </row>
    <row r="18" spans="2:7" ht="15">
      <c r="B18" s="17" t="s">
        <v>124</v>
      </c>
      <c r="C18" s="18">
        <v>280000</v>
      </c>
      <c r="D18" s="18">
        <f>O9</f>
        <v>275352</v>
      </c>
      <c r="E18" s="18">
        <f t="shared" si="1"/>
        <v>-4648</v>
      </c>
      <c r="F18" s="19">
        <f t="shared" si="2"/>
        <v>-1.66E-2</v>
      </c>
      <c r="G18" s="30" t="s">
        <v>43</v>
      </c>
    </row>
    <row r="19" spans="2:7" ht="15">
      <c r="B19" s="17" t="s">
        <v>125</v>
      </c>
      <c r="C19" s="18">
        <v>280000</v>
      </c>
      <c r="D19" s="18">
        <f>O10</f>
        <v>275810</v>
      </c>
      <c r="E19" s="18">
        <f t="shared" si="1"/>
        <v>-4190</v>
      </c>
      <c r="F19" s="19">
        <f t="shared" si="2"/>
        <v>-1.4964285714285715E-2</v>
      </c>
      <c r="G19" s="30" t="s">
        <v>43</v>
      </c>
    </row>
    <row r="20" spans="2:7" ht="15">
      <c r="B20" s="17" t="s">
        <v>126</v>
      </c>
      <c r="C20" s="18">
        <v>280000</v>
      </c>
      <c r="D20" s="18">
        <f>O11</f>
        <v>281029</v>
      </c>
      <c r="E20" s="18">
        <f t="shared" si="1"/>
        <v>1029</v>
      </c>
      <c r="F20" s="19">
        <f t="shared" si="2"/>
        <v>3.6749999999999999E-3</v>
      </c>
      <c r="G20" s="30" t="s">
        <v>43</v>
      </c>
    </row>
    <row r="21" spans="2:7" ht="15">
      <c r="B21" s="21" t="s">
        <v>68</v>
      </c>
      <c r="C21" s="64">
        <f>SUM(C16:C20)</f>
        <v>1400000</v>
      </c>
      <c r="D21" s="64">
        <f>SUM(D16:D20)</f>
        <v>1424744</v>
      </c>
      <c r="E21" s="64">
        <f t="shared" si="1"/>
        <v>24744</v>
      </c>
      <c r="F21" s="22">
        <f t="shared" si="2"/>
        <v>1.7674285714285715E-2</v>
      </c>
      <c r="G21" s="30" t="s">
        <v>43</v>
      </c>
    </row>
    <row r="23" spans="2:7">
      <c r="B23" s="14" t="s">
        <v>71</v>
      </c>
      <c r="C23" s="15"/>
      <c r="D23" s="15"/>
    </row>
    <row r="24" spans="2:7">
      <c r="B24" s="21" t="s">
        <v>72</v>
      </c>
      <c r="C24" s="31" t="s">
        <v>127</v>
      </c>
    </row>
    <row r="25" spans="2:7">
      <c r="B25" s="21" t="s">
        <v>74</v>
      </c>
      <c r="C25" s="31" t="s">
        <v>36</v>
      </c>
    </row>
    <row r="26" spans="2:7">
      <c r="B26" s="21" t="s">
        <v>75</v>
      </c>
      <c r="C26" s="32">
        <v>25</v>
      </c>
    </row>
    <row r="27" spans="2:7">
      <c r="B27" s="21" t="s">
        <v>76</v>
      </c>
      <c r="C27" s="31" t="s">
        <v>93</v>
      </c>
    </row>
  </sheetData>
  <conditionalFormatting sqref="F16:F21">
    <cfRule type="expression" dxfId="17" priority="7">
      <formula>$F16&gt;0.1</formula>
    </cfRule>
    <cfRule type="expression" dxfId="16" priority="8">
      <formula>AND($F16&gt;0,$F16&lt;=0.1)</formula>
    </cfRule>
    <cfRule type="expression" dxfId="15" priority="9">
      <formula>$F16&lt;=0</formula>
    </cfRule>
  </conditionalFormatting>
  <conditionalFormatting sqref="G16:G21">
    <cfRule type="expression" dxfId="14" priority="1">
      <formula>$F16&gt;0.1</formula>
    </cfRule>
    <cfRule type="expression" dxfId="13" priority="2">
      <formula>AND($F16&gt;0,$F16&lt;=0.1)</formula>
    </cfRule>
    <cfRule type="expression" dxfId="12" priority="3">
      <formula>$F16&lt;=0</formula>
    </cfRule>
  </conditionalFormatting>
  <hyperlinks>
    <hyperlink ref="H2" location="'Cost Center Summary'!A1" display="🏠 Summary"/>
  </hyperlink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7"/>
  <sheetViews>
    <sheetView showGridLines="0" zoomScaleNormal="100" workbookViewId="0">
      <selection activeCell="H2" sqref="H2"/>
    </sheetView>
  </sheetViews>
  <sheetFormatPr defaultColWidth="6" defaultRowHeight="13.8"/>
  <cols>
    <col min="1" max="1" width="3.5" style="12" customWidth="1"/>
    <col min="2" max="2" width="23.625" style="12" customWidth="1"/>
    <col min="3" max="3" width="13.375" style="12" customWidth="1"/>
    <col min="4" max="4" width="13.375" style="12" bestFit="1" customWidth="1"/>
    <col min="5" max="5" width="11.375" style="12" bestFit="1" customWidth="1"/>
    <col min="6" max="7" width="11.125" style="12" bestFit="1" customWidth="1"/>
    <col min="8" max="8" width="21.75" style="12" bestFit="1" customWidth="1"/>
    <col min="9" max="14" width="11.125" style="12" bestFit="1" customWidth="1"/>
    <col min="15" max="15" width="13.5" style="12" bestFit="1" customWidth="1"/>
    <col min="16" max="16384" width="6" style="12"/>
  </cols>
  <sheetData>
    <row r="2" spans="2:15" ht="21">
      <c r="B2" s="11" t="s">
        <v>128</v>
      </c>
      <c r="H2" s="61" t="s">
        <v>236</v>
      </c>
    </row>
    <row r="3" spans="2:15">
      <c r="B3" s="13" t="s">
        <v>48</v>
      </c>
    </row>
    <row r="5" spans="2:15">
      <c r="B5" s="14" t="s">
        <v>49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2:15">
      <c r="B6" s="16"/>
      <c r="C6" s="16" t="s">
        <v>50</v>
      </c>
      <c r="D6" s="16" t="s">
        <v>51</v>
      </c>
      <c r="E6" s="16" t="s">
        <v>52</v>
      </c>
      <c r="F6" s="16" t="s">
        <v>53</v>
      </c>
      <c r="G6" s="16" t="s">
        <v>54</v>
      </c>
      <c r="H6" s="16" t="s">
        <v>55</v>
      </c>
      <c r="I6" s="16" t="s">
        <v>56</v>
      </c>
      <c r="J6" s="16" t="s">
        <v>57</v>
      </c>
      <c r="K6" s="16" t="s">
        <v>58</v>
      </c>
      <c r="L6" s="16" t="s">
        <v>59</v>
      </c>
      <c r="M6" s="16" t="s">
        <v>60</v>
      </c>
      <c r="N6" s="16" t="s">
        <v>61</v>
      </c>
      <c r="O6" s="16" t="s">
        <v>62</v>
      </c>
    </row>
    <row r="7" spans="2:15">
      <c r="B7" s="28" t="s">
        <v>129</v>
      </c>
      <c r="C7" s="18">
        <v>32860</v>
      </c>
      <c r="D7" s="18">
        <v>38493</v>
      </c>
      <c r="E7" s="18">
        <v>37215</v>
      </c>
      <c r="F7" s="18">
        <v>41039</v>
      </c>
      <c r="G7" s="18">
        <v>31856</v>
      </c>
      <c r="H7" s="18">
        <v>37527</v>
      </c>
      <c r="I7" s="18">
        <v>33254</v>
      </c>
      <c r="J7" s="18">
        <v>37429</v>
      </c>
      <c r="K7" s="18">
        <v>40155</v>
      </c>
      <c r="L7" s="18">
        <v>35940</v>
      </c>
      <c r="M7" s="18">
        <v>37049</v>
      </c>
      <c r="N7" s="18">
        <v>35183</v>
      </c>
      <c r="O7" s="64">
        <f>SUM(C7:N7)</f>
        <v>438000</v>
      </c>
    </row>
    <row r="8" spans="2:15">
      <c r="B8" s="28" t="s">
        <v>130</v>
      </c>
      <c r="C8" s="18">
        <v>41559</v>
      </c>
      <c r="D8" s="18">
        <v>40653</v>
      </c>
      <c r="E8" s="18">
        <v>32153</v>
      </c>
      <c r="F8" s="18">
        <v>31636</v>
      </c>
      <c r="G8" s="18">
        <v>37050</v>
      </c>
      <c r="H8" s="18">
        <v>34592</v>
      </c>
      <c r="I8" s="18">
        <v>31510</v>
      </c>
      <c r="J8" s="18">
        <v>38593</v>
      </c>
      <c r="K8" s="18">
        <v>32884</v>
      </c>
      <c r="L8" s="18">
        <v>38248</v>
      </c>
      <c r="M8" s="18">
        <v>32251</v>
      </c>
      <c r="N8" s="18">
        <v>39019</v>
      </c>
      <c r="O8" s="64">
        <f>SUM(C8:N8)</f>
        <v>430148</v>
      </c>
    </row>
    <row r="9" spans="2:15">
      <c r="B9" s="28" t="s">
        <v>131</v>
      </c>
      <c r="C9" s="18">
        <v>40378</v>
      </c>
      <c r="D9" s="18">
        <v>39935</v>
      </c>
      <c r="E9" s="18">
        <v>40879</v>
      </c>
      <c r="F9" s="18">
        <v>37934</v>
      </c>
      <c r="G9" s="18">
        <v>34838</v>
      </c>
      <c r="H9" s="18">
        <v>33173</v>
      </c>
      <c r="I9" s="18">
        <v>38403</v>
      </c>
      <c r="J9" s="18">
        <v>41883</v>
      </c>
      <c r="K9" s="18">
        <v>38405</v>
      </c>
      <c r="L9" s="18">
        <v>32309</v>
      </c>
      <c r="M9" s="18">
        <v>31645</v>
      </c>
      <c r="N9" s="18">
        <v>32841</v>
      </c>
      <c r="O9" s="64">
        <f>SUM(C9:N9)</f>
        <v>442623</v>
      </c>
    </row>
    <row r="10" spans="2:15">
      <c r="B10" s="28" t="s">
        <v>132</v>
      </c>
      <c r="C10" s="18">
        <v>39998</v>
      </c>
      <c r="D10" s="18">
        <v>32661</v>
      </c>
      <c r="E10" s="18">
        <v>38931</v>
      </c>
      <c r="F10" s="18">
        <v>37587</v>
      </c>
      <c r="G10" s="18">
        <v>35179</v>
      </c>
      <c r="H10" s="18">
        <v>35795</v>
      </c>
      <c r="I10" s="18">
        <v>34061</v>
      </c>
      <c r="J10" s="18">
        <v>35687</v>
      </c>
      <c r="K10" s="18">
        <v>33190</v>
      </c>
      <c r="L10" s="18">
        <v>36987</v>
      </c>
      <c r="M10" s="18">
        <v>38435</v>
      </c>
      <c r="N10" s="18">
        <v>37213</v>
      </c>
      <c r="O10" s="64">
        <f>SUM(C10:N10)</f>
        <v>435724</v>
      </c>
    </row>
    <row r="11" spans="2:15">
      <c r="B11" s="28" t="s">
        <v>133</v>
      </c>
      <c r="C11" s="18">
        <v>42071</v>
      </c>
      <c r="D11" s="18">
        <v>41342</v>
      </c>
      <c r="E11" s="18">
        <v>40959</v>
      </c>
      <c r="F11" s="18">
        <v>37809</v>
      </c>
      <c r="G11" s="18">
        <v>32750</v>
      </c>
      <c r="H11" s="18">
        <v>39514</v>
      </c>
      <c r="I11" s="18">
        <v>41545</v>
      </c>
      <c r="J11" s="18">
        <v>37773</v>
      </c>
      <c r="K11" s="18">
        <v>36161</v>
      </c>
      <c r="L11" s="18">
        <v>38374</v>
      </c>
      <c r="M11" s="18">
        <v>38062</v>
      </c>
      <c r="N11" s="18">
        <v>40271</v>
      </c>
      <c r="O11" s="64">
        <f>SUM(C11:N11)</f>
        <v>466631</v>
      </c>
    </row>
    <row r="12" spans="2:15">
      <c r="B12" s="21" t="s">
        <v>68</v>
      </c>
      <c r="C12" s="64">
        <f t="shared" ref="C12:O12" si="0">SUM(C7:C11)</f>
        <v>196866</v>
      </c>
      <c r="D12" s="64">
        <f t="shared" si="0"/>
        <v>193084</v>
      </c>
      <c r="E12" s="64">
        <f t="shared" si="0"/>
        <v>190137</v>
      </c>
      <c r="F12" s="64">
        <f t="shared" si="0"/>
        <v>186005</v>
      </c>
      <c r="G12" s="64">
        <f t="shared" si="0"/>
        <v>171673</v>
      </c>
      <c r="H12" s="64">
        <f t="shared" si="0"/>
        <v>180601</v>
      </c>
      <c r="I12" s="64">
        <f t="shared" si="0"/>
        <v>178773</v>
      </c>
      <c r="J12" s="64">
        <f t="shared" si="0"/>
        <v>191365</v>
      </c>
      <c r="K12" s="64">
        <f t="shared" si="0"/>
        <v>180795</v>
      </c>
      <c r="L12" s="64">
        <f t="shared" si="0"/>
        <v>181858</v>
      </c>
      <c r="M12" s="64">
        <f t="shared" si="0"/>
        <v>177442</v>
      </c>
      <c r="N12" s="64">
        <f t="shared" si="0"/>
        <v>184527</v>
      </c>
      <c r="O12" s="65">
        <f t="shared" si="0"/>
        <v>2213126</v>
      </c>
    </row>
    <row r="14" spans="2:15">
      <c r="B14" s="14" t="s">
        <v>69</v>
      </c>
      <c r="C14" s="15"/>
      <c r="D14" s="15"/>
      <c r="E14" s="15"/>
      <c r="F14" s="15"/>
      <c r="G14" s="15"/>
    </row>
    <row r="15" spans="2:15">
      <c r="B15" s="16" t="s">
        <v>70</v>
      </c>
      <c r="C15" s="16" t="s">
        <v>16</v>
      </c>
      <c r="D15" s="16" t="s">
        <v>17</v>
      </c>
      <c r="E15" s="16" t="s">
        <v>18</v>
      </c>
      <c r="F15" s="16" t="s">
        <v>19</v>
      </c>
      <c r="G15" s="16" t="s">
        <v>20</v>
      </c>
    </row>
    <row r="16" spans="2:15" ht="15">
      <c r="B16" s="17" t="s">
        <v>129</v>
      </c>
      <c r="C16" s="18">
        <v>440000</v>
      </c>
      <c r="D16" s="18">
        <f>O7</f>
        <v>438000</v>
      </c>
      <c r="E16" s="18">
        <f t="shared" ref="E16:E21" si="1">D16-C16</f>
        <v>-2000</v>
      </c>
      <c r="F16" s="19">
        <f t="shared" ref="F16:F21" si="2">IF(C16=0,0,(D16-C16)/C16)</f>
        <v>-4.5454545454545452E-3</v>
      </c>
      <c r="G16" s="30" t="s">
        <v>43</v>
      </c>
    </row>
    <row r="17" spans="2:7" ht="15">
      <c r="B17" s="17" t="s">
        <v>130</v>
      </c>
      <c r="C17" s="18">
        <v>440000</v>
      </c>
      <c r="D17" s="18">
        <f>O8</f>
        <v>430148</v>
      </c>
      <c r="E17" s="18">
        <f t="shared" si="1"/>
        <v>-9852</v>
      </c>
      <c r="F17" s="19">
        <f t="shared" si="2"/>
        <v>-2.239090909090909E-2</v>
      </c>
      <c r="G17" s="30" t="s">
        <v>43</v>
      </c>
    </row>
    <row r="18" spans="2:7" ht="15">
      <c r="B18" s="17" t="s">
        <v>131</v>
      </c>
      <c r="C18" s="18">
        <v>440000</v>
      </c>
      <c r="D18" s="18">
        <f>O9</f>
        <v>442623</v>
      </c>
      <c r="E18" s="18">
        <f t="shared" si="1"/>
        <v>2623</v>
      </c>
      <c r="F18" s="19">
        <f t="shared" si="2"/>
        <v>5.9613636363636362E-3</v>
      </c>
      <c r="G18" s="30" t="s">
        <v>43</v>
      </c>
    </row>
    <row r="19" spans="2:7" ht="15">
      <c r="B19" s="17" t="s">
        <v>132</v>
      </c>
      <c r="C19" s="18">
        <v>440000</v>
      </c>
      <c r="D19" s="18">
        <f>O10</f>
        <v>435724</v>
      </c>
      <c r="E19" s="18">
        <f t="shared" si="1"/>
        <v>-4276</v>
      </c>
      <c r="F19" s="19">
        <f t="shared" si="2"/>
        <v>-9.7181818181818185E-3</v>
      </c>
      <c r="G19" s="30" t="s">
        <v>43</v>
      </c>
    </row>
    <row r="20" spans="2:7" ht="15">
      <c r="B20" s="17" t="s">
        <v>133</v>
      </c>
      <c r="C20" s="18">
        <v>440000</v>
      </c>
      <c r="D20" s="18">
        <f>O11</f>
        <v>466631</v>
      </c>
      <c r="E20" s="18">
        <f t="shared" si="1"/>
        <v>26631</v>
      </c>
      <c r="F20" s="19">
        <f t="shared" si="2"/>
        <v>6.0525000000000002E-2</v>
      </c>
      <c r="G20" s="30" t="s">
        <v>43</v>
      </c>
    </row>
    <row r="21" spans="2:7" ht="15">
      <c r="B21" s="21" t="s">
        <v>68</v>
      </c>
      <c r="C21" s="64">
        <f>SUM(C16:C20)</f>
        <v>2200000</v>
      </c>
      <c r="D21" s="64">
        <f>SUM(D16:D20)</f>
        <v>2213126</v>
      </c>
      <c r="E21" s="64">
        <f t="shared" si="1"/>
        <v>13126</v>
      </c>
      <c r="F21" s="22">
        <f t="shared" si="2"/>
        <v>5.966363636363636E-3</v>
      </c>
      <c r="G21" s="30" t="s">
        <v>43</v>
      </c>
    </row>
    <row r="23" spans="2:7">
      <c r="B23" s="14" t="s">
        <v>71</v>
      </c>
      <c r="C23" s="15"/>
      <c r="D23" s="15"/>
    </row>
    <row r="24" spans="2:7">
      <c r="B24" s="21" t="s">
        <v>72</v>
      </c>
      <c r="C24" s="31" t="s">
        <v>134</v>
      </c>
    </row>
    <row r="25" spans="2:7">
      <c r="B25" s="21" t="s">
        <v>74</v>
      </c>
      <c r="C25" s="31" t="s">
        <v>38</v>
      </c>
    </row>
    <row r="26" spans="2:7">
      <c r="B26" s="21" t="s">
        <v>75</v>
      </c>
      <c r="C26" s="32">
        <v>35</v>
      </c>
    </row>
    <row r="27" spans="2:7">
      <c r="B27" s="21" t="s">
        <v>76</v>
      </c>
      <c r="C27" s="31" t="s">
        <v>93</v>
      </c>
    </row>
  </sheetData>
  <conditionalFormatting sqref="F16:F21">
    <cfRule type="expression" dxfId="11" priority="7">
      <formula>$F16&gt;0.1</formula>
    </cfRule>
    <cfRule type="expression" dxfId="10" priority="8">
      <formula>AND($F16&gt;0,$F16&lt;=0.1)</formula>
    </cfRule>
    <cfRule type="expression" dxfId="9" priority="9">
      <formula>$F16&lt;=0</formula>
    </cfRule>
  </conditionalFormatting>
  <conditionalFormatting sqref="G16:G21">
    <cfRule type="expression" dxfId="8" priority="1">
      <formula>$F16&gt;0.1</formula>
    </cfRule>
    <cfRule type="expression" dxfId="7" priority="2">
      <formula>AND($F16&gt;0,$F16&lt;=0.1)</formula>
    </cfRule>
    <cfRule type="expression" dxfId="6" priority="3">
      <formula>$F16&lt;=0</formula>
    </cfRule>
  </conditionalFormatting>
  <hyperlinks>
    <hyperlink ref="H2" location="'Cost Center Summary'!A1" display="🏠 Summary"/>
  </hyperlinks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7"/>
  <sheetViews>
    <sheetView showGridLines="0" zoomScaleNormal="100" workbookViewId="0">
      <selection activeCell="H2" sqref="H2"/>
    </sheetView>
  </sheetViews>
  <sheetFormatPr defaultColWidth="6" defaultRowHeight="13.8"/>
  <cols>
    <col min="1" max="1" width="3.5" style="12" customWidth="1"/>
    <col min="2" max="2" width="23.625" style="12" customWidth="1"/>
    <col min="3" max="3" width="13.375" style="12" customWidth="1"/>
    <col min="4" max="4" width="13.375" style="12" bestFit="1" customWidth="1"/>
    <col min="5" max="5" width="11.375" style="12" bestFit="1" customWidth="1"/>
    <col min="6" max="7" width="11.125" style="12" bestFit="1" customWidth="1"/>
    <col min="8" max="8" width="21.75" style="12" bestFit="1" customWidth="1"/>
    <col min="9" max="14" width="11.125" style="12" bestFit="1" customWidth="1"/>
    <col min="15" max="15" width="13.5" style="12" bestFit="1" customWidth="1"/>
    <col min="16" max="16384" width="6" style="12"/>
  </cols>
  <sheetData>
    <row r="2" spans="2:15" ht="21">
      <c r="B2" s="11" t="s">
        <v>135</v>
      </c>
      <c r="H2" s="61" t="s">
        <v>236</v>
      </c>
    </row>
    <row r="3" spans="2:15">
      <c r="B3" s="13" t="s">
        <v>48</v>
      </c>
    </row>
    <row r="5" spans="2:15">
      <c r="B5" s="14" t="s">
        <v>49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2:15">
      <c r="B6" s="16"/>
      <c r="C6" s="16" t="s">
        <v>50</v>
      </c>
      <c r="D6" s="16" t="s">
        <v>51</v>
      </c>
      <c r="E6" s="16" t="s">
        <v>52</v>
      </c>
      <c r="F6" s="16" t="s">
        <v>53</v>
      </c>
      <c r="G6" s="16" t="s">
        <v>54</v>
      </c>
      <c r="H6" s="16" t="s">
        <v>55</v>
      </c>
      <c r="I6" s="16" t="s">
        <v>56</v>
      </c>
      <c r="J6" s="16" t="s">
        <v>57</v>
      </c>
      <c r="K6" s="16" t="s">
        <v>58</v>
      </c>
      <c r="L6" s="16" t="s">
        <v>59</v>
      </c>
      <c r="M6" s="16" t="s">
        <v>60</v>
      </c>
      <c r="N6" s="16" t="s">
        <v>61</v>
      </c>
      <c r="O6" s="16" t="s">
        <v>62</v>
      </c>
    </row>
    <row r="7" spans="2:15">
      <c r="B7" s="28" t="s">
        <v>136</v>
      </c>
      <c r="C7" s="18">
        <v>39752</v>
      </c>
      <c r="D7" s="18">
        <v>38459</v>
      </c>
      <c r="E7" s="18">
        <v>43696</v>
      </c>
      <c r="F7" s="18">
        <v>39584</v>
      </c>
      <c r="G7" s="18">
        <v>41774</v>
      </c>
      <c r="H7" s="18">
        <v>37410</v>
      </c>
      <c r="I7" s="18">
        <v>40462</v>
      </c>
      <c r="J7" s="18">
        <v>40752</v>
      </c>
      <c r="K7" s="18">
        <v>41038</v>
      </c>
      <c r="L7" s="18">
        <v>43433</v>
      </c>
      <c r="M7" s="18">
        <v>38063</v>
      </c>
      <c r="N7" s="18">
        <v>36030</v>
      </c>
      <c r="O7" s="64">
        <f>SUM(C7:N7)</f>
        <v>480453</v>
      </c>
    </row>
    <row r="8" spans="2:15">
      <c r="B8" s="28" t="s">
        <v>65</v>
      </c>
      <c r="C8" s="18">
        <v>38498</v>
      </c>
      <c r="D8" s="18">
        <v>41031</v>
      </c>
      <c r="E8" s="18">
        <v>39889</v>
      </c>
      <c r="F8" s="18">
        <v>38469</v>
      </c>
      <c r="G8" s="18">
        <v>39056</v>
      </c>
      <c r="H8" s="18">
        <v>36126</v>
      </c>
      <c r="I8" s="18">
        <v>35256</v>
      </c>
      <c r="J8" s="18">
        <v>41887</v>
      </c>
      <c r="K8" s="18">
        <v>34874</v>
      </c>
      <c r="L8" s="18">
        <v>40885</v>
      </c>
      <c r="M8" s="18">
        <v>45703</v>
      </c>
      <c r="N8" s="18">
        <v>40077</v>
      </c>
      <c r="O8" s="64">
        <f>SUM(C8:N8)</f>
        <v>471751</v>
      </c>
    </row>
    <row r="9" spans="2:15">
      <c r="B9" s="28" t="s">
        <v>137</v>
      </c>
      <c r="C9" s="18">
        <v>42553</v>
      </c>
      <c r="D9" s="18">
        <v>43162</v>
      </c>
      <c r="E9" s="18">
        <v>39857</v>
      </c>
      <c r="F9" s="18">
        <v>40308</v>
      </c>
      <c r="G9" s="18">
        <v>36780</v>
      </c>
      <c r="H9" s="18">
        <v>41525</v>
      </c>
      <c r="I9" s="18">
        <v>40302</v>
      </c>
      <c r="J9" s="18">
        <v>38022</v>
      </c>
      <c r="K9" s="18">
        <v>45253</v>
      </c>
      <c r="L9" s="18">
        <v>41579</v>
      </c>
      <c r="M9" s="18">
        <v>38995</v>
      </c>
      <c r="N9" s="18">
        <v>44831</v>
      </c>
      <c r="O9" s="64">
        <f>SUM(C9:N9)</f>
        <v>493167</v>
      </c>
    </row>
    <row r="10" spans="2:15">
      <c r="B10" s="28" t="s">
        <v>138</v>
      </c>
      <c r="C10" s="18">
        <v>43161</v>
      </c>
      <c r="D10" s="18">
        <v>45641</v>
      </c>
      <c r="E10" s="18">
        <v>38054</v>
      </c>
      <c r="F10" s="18">
        <v>39770</v>
      </c>
      <c r="G10" s="18">
        <v>36823</v>
      </c>
      <c r="H10" s="18">
        <v>42745</v>
      </c>
      <c r="I10" s="18">
        <v>44087</v>
      </c>
      <c r="J10" s="18">
        <v>42290</v>
      </c>
      <c r="K10" s="18">
        <v>42534</v>
      </c>
      <c r="L10" s="18">
        <v>35724</v>
      </c>
      <c r="M10" s="18">
        <v>45199</v>
      </c>
      <c r="N10" s="18">
        <v>35683</v>
      </c>
      <c r="O10" s="64">
        <f>SUM(C10:N10)</f>
        <v>491711</v>
      </c>
    </row>
    <row r="11" spans="2:15">
      <c r="B11" s="28" t="s">
        <v>139</v>
      </c>
      <c r="C11" s="18">
        <v>43686</v>
      </c>
      <c r="D11" s="18">
        <v>36006</v>
      </c>
      <c r="E11" s="18">
        <v>42230</v>
      </c>
      <c r="F11" s="18">
        <v>42932</v>
      </c>
      <c r="G11" s="18">
        <v>36145</v>
      </c>
      <c r="H11" s="18">
        <v>40697</v>
      </c>
      <c r="I11" s="18">
        <v>36988</v>
      </c>
      <c r="J11" s="18">
        <v>45433</v>
      </c>
      <c r="K11" s="18">
        <v>36191</v>
      </c>
      <c r="L11" s="18">
        <v>45795</v>
      </c>
      <c r="M11" s="18">
        <v>40001</v>
      </c>
      <c r="N11" s="18">
        <v>34062</v>
      </c>
      <c r="O11" s="64">
        <f>SUM(C11:N11)</f>
        <v>480166</v>
      </c>
    </row>
    <row r="12" spans="2:15">
      <c r="B12" s="21" t="s">
        <v>68</v>
      </c>
      <c r="C12" s="64">
        <f t="shared" ref="C12:O12" si="0">SUM(C7:C11)</f>
        <v>207650</v>
      </c>
      <c r="D12" s="64">
        <f t="shared" si="0"/>
        <v>204299</v>
      </c>
      <c r="E12" s="64">
        <f t="shared" si="0"/>
        <v>203726</v>
      </c>
      <c r="F12" s="64">
        <f t="shared" si="0"/>
        <v>201063</v>
      </c>
      <c r="G12" s="64">
        <f t="shared" si="0"/>
        <v>190578</v>
      </c>
      <c r="H12" s="64">
        <f t="shared" si="0"/>
        <v>198503</v>
      </c>
      <c r="I12" s="64">
        <f t="shared" si="0"/>
        <v>197095</v>
      </c>
      <c r="J12" s="64">
        <f t="shared" si="0"/>
        <v>208384</v>
      </c>
      <c r="K12" s="64">
        <f t="shared" si="0"/>
        <v>199890</v>
      </c>
      <c r="L12" s="64">
        <f t="shared" si="0"/>
        <v>207416</v>
      </c>
      <c r="M12" s="64">
        <f t="shared" si="0"/>
        <v>207961</v>
      </c>
      <c r="N12" s="64">
        <f t="shared" si="0"/>
        <v>190683</v>
      </c>
      <c r="O12" s="65">
        <f t="shared" si="0"/>
        <v>2417248</v>
      </c>
    </row>
    <row r="14" spans="2:15">
      <c r="B14" s="14" t="s">
        <v>69</v>
      </c>
      <c r="C14" s="15"/>
      <c r="D14" s="15"/>
      <c r="E14" s="15"/>
      <c r="F14" s="15"/>
      <c r="G14" s="15"/>
    </row>
    <row r="15" spans="2:15">
      <c r="B15" s="16" t="s">
        <v>70</v>
      </c>
      <c r="C15" s="16" t="s">
        <v>16</v>
      </c>
      <c r="D15" s="16" t="s">
        <v>17</v>
      </c>
      <c r="E15" s="16" t="s">
        <v>18</v>
      </c>
      <c r="F15" s="16" t="s">
        <v>19</v>
      </c>
      <c r="G15" s="16" t="s">
        <v>20</v>
      </c>
    </row>
    <row r="16" spans="2:15" ht="15">
      <c r="B16" s="17" t="s">
        <v>136</v>
      </c>
      <c r="C16" s="18">
        <v>480000</v>
      </c>
      <c r="D16" s="18">
        <f>O7</f>
        <v>480453</v>
      </c>
      <c r="E16" s="18">
        <f t="shared" ref="E16:E21" si="1">D16-C16</f>
        <v>453</v>
      </c>
      <c r="F16" s="19">
        <f t="shared" ref="F16:F21" si="2">IF(C16=0,0,(D16-C16)/C16)</f>
        <v>9.4375000000000004E-4</v>
      </c>
      <c r="G16" s="30" t="s">
        <v>43</v>
      </c>
    </row>
    <row r="17" spans="2:7" ht="15">
      <c r="B17" s="17" t="s">
        <v>65</v>
      </c>
      <c r="C17" s="18">
        <v>480000</v>
      </c>
      <c r="D17" s="18">
        <f>O8</f>
        <v>471751</v>
      </c>
      <c r="E17" s="18">
        <f t="shared" si="1"/>
        <v>-8249</v>
      </c>
      <c r="F17" s="19">
        <f t="shared" si="2"/>
        <v>-1.7185416666666668E-2</v>
      </c>
      <c r="G17" s="30" t="s">
        <v>43</v>
      </c>
    </row>
    <row r="18" spans="2:7" ht="15">
      <c r="B18" s="17" t="s">
        <v>137</v>
      </c>
      <c r="C18" s="18">
        <v>480000</v>
      </c>
      <c r="D18" s="18">
        <f>O9</f>
        <v>493167</v>
      </c>
      <c r="E18" s="18">
        <f t="shared" si="1"/>
        <v>13167</v>
      </c>
      <c r="F18" s="19">
        <f t="shared" si="2"/>
        <v>2.7431250000000001E-2</v>
      </c>
      <c r="G18" s="30" t="s">
        <v>43</v>
      </c>
    </row>
    <row r="19" spans="2:7" ht="15">
      <c r="B19" s="17" t="s">
        <v>138</v>
      </c>
      <c r="C19" s="18">
        <v>480000</v>
      </c>
      <c r="D19" s="18">
        <f>O10</f>
        <v>491711</v>
      </c>
      <c r="E19" s="18">
        <f t="shared" si="1"/>
        <v>11711</v>
      </c>
      <c r="F19" s="19">
        <f t="shared" si="2"/>
        <v>2.4397916666666665E-2</v>
      </c>
      <c r="G19" s="30" t="s">
        <v>43</v>
      </c>
    </row>
    <row r="20" spans="2:7" ht="15">
      <c r="B20" s="17" t="s">
        <v>139</v>
      </c>
      <c r="C20" s="18">
        <v>480000</v>
      </c>
      <c r="D20" s="18">
        <f>O11</f>
        <v>480166</v>
      </c>
      <c r="E20" s="18">
        <f t="shared" si="1"/>
        <v>166</v>
      </c>
      <c r="F20" s="19">
        <f t="shared" si="2"/>
        <v>3.4583333333333335E-4</v>
      </c>
      <c r="G20" s="30" t="s">
        <v>43</v>
      </c>
    </row>
    <row r="21" spans="2:7" ht="15">
      <c r="B21" s="21" t="s">
        <v>68</v>
      </c>
      <c r="C21" s="64">
        <f>SUM(C16:C20)</f>
        <v>2400000</v>
      </c>
      <c r="D21" s="64">
        <f>SUM(D16:D20)</f>
        <v>2417248</v>
      </c>
      <c r="E21" s="64">
        <f t="shared" si="1"/>
        <v>17248</v>
      </c>
      <c r="F21" s="22">
        <f t="shared" si="2"/>
        <v>7.1866666666666667E-3</v>
      </c>
      <c r="G21" s="30" t="s">
        <v>43</v>
      </c>
    </row>
    <row r="23" spans="2:7">
      <c r="B23" s="14" t="s">
        <v>71</v>
      </c>
      <c r="C23" s="15"/>
      <c r="D23" s="15"/>
    </row>
    <row r="24" spans="2:7">
      <c r="B24" s="21" t="s">
        <v>72</v>
      </c>
      <c r="C24" s="31" t="s">
        <v>140</v>
      </c>
    </row>
    <row r="25" spans="2:7">
      <c r="B25" s="21" t="s">
        <v>74</v>
      </c>
      <c r="C25" s="31" t="s">
        <v>40</v>
      </c>
    </row>
    <row r="26" spans="2:7">
      <c r="B26" s="21" t="s">
        <v>75</v>
      </c>
      <c r="C26" s="32">
        <v>50</v>
      </c>
    </row>
    <row r="27" spans="2:7">
      <c r="B27" s="21" t="s">
        <v>76</v>
      </c>
      <c r="C27" s="31" t="s">
        <v>107</v>
      </c>
    </row>
  </sheetData>
  <conditionalFormatting sqref="F16:F21">
    <cfRule type="expression" dxfId="5" priority="7">
      <formula>$F16&gt;0.1</formula>
    </cfRule>
    <cfRule type="expression" dxfId="4" priority="8">
      <formula>AND($F16&gt;0,$F16&lt;=0.1)</formula>
    </cfRule>
    <cfRule type="expression" dxfId="3" priority="9">
      <formula>$F16&lt;=0</formula>
    </cfRule>
  </conditionalFormatting>
  <conditionalFormatting sqref="G16:G21">
    <cfRule type="expression" dxfId="2" priority="1">
      <formula>$F16&gt;0.1</formula>
    </cfRule>
    <cfRule type="expression" dxfId="1" priority="2">
      <formula>AND($F16&gt;0,$F16&lt;=0.1)</formula>
    </cfRule>
    <cfRule type="expression" dxfId="0" priority="3">
      <formula>$F16&lt;=0</formula>
    </cfRule>
  </conditionalFormatting>
  <hyperlinks>
    <hyperlink ref="H2" location="'Cost Center Summary'!A1" display="🏠 Summary"/>
  </hyperlink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978176D7B6BC41934141C52985821B" ma:contentTypeVersion="19" ma:contentTypeDescription="Create a new document." ma:contentTypeScope="" ma:versionID="724dcadaa1ece9d6ee952df349077aca">
  <xsd:schema xmlns:xsd="http://www.w3.org/2001/XMLSchema" xmlns:xs="http://www.w3.org/2001/XMLSchema" xmlns:p="http://schemas.microsoft.com/office/2006/metadata/properties" xmlns:ns2="8602ebc8-99ea-4c12-aabd-36e02eea0ec4" xmlns:ns3="8ea0a048-5e79-414d-a984-5fa877d55858" targetNamespace="http://schemas.microsoft.com/office/2006/metadata/properties" ma:root="true" ma:fieldsID="5bace0686b38ce2dee12e7f8b8ec7e81" ns2:_="" ns3:_="">
    <xsd:import namespace="8602ebc8-99ea-4c12-aabd-36e02eea0ec4"/>
    <xsd:import namespace="8ea0a048-5e79-414d-a984-5fa877d558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02ebc8-99ea-4c12-aabd-36e02eea0e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4d8f9d6-9daa-4c01-95ba-9fd911da66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a0a048-5e79-414d-a984-5fa877d5585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9c6fd0d-bccc-4929-be17-09f5c5a8f8af}" ma:internalName="TaxCatchAll" ma:showField="CatchAllData" ma:web="8ea0a048-5e79-414d-a984-5fa877d558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602ebc8-99ea-4c12-aabd-36e02eea0ec4">
      <Terms xmlns="http://schemas.microsoft.com/office/infopath/2007/PartnerControls"/>
    </lcf76f155ced4ddcb4097134ff3c332f>
    <TaxCatchAll xmlns="8ea0a048-5e79-414d-a984-5fa877d55858" xsi:nil="true"/>
  </documentManagement>
</p:properties>
</file>

<file path=customXml/itemProps1.xml><?xml version="1.0" encoding="utf-8"?>
<ds:datastoreItem xmlns:ds="http://schemas.openxmlformats.org/officeDocument/2006/customXml" ds:itemID="{9ABA4763-F275-471A-B617-940E08A2D7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02ebc8-99ea-4c12-aabd-36e02eea0ec4"/>
    <ds:schemaRef ds:uri="8ea0a048-5e79-414d-a984-5fa877d558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942F30E-E185-4880-BB34-04734B8306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C4561C-12B1-4A69-9792-D01721E9EBFC}">
  <ds:schemaRefs>
    <ds:schemaRef ds:uri="http://www.w3.org/XML/1998/namespace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purl.org/dc/elements/1.1/"/>
    <ds:schemaRef ds:uri="http://purl.org/dc/terms/"/>
    <ds:schemaRef ds:uri="8602ebc8-99ea-4c12-aabd-36e02eea0ec4"/>
    <ds:schemaRef ds:uri="http://schemas.microsoft.com/office/2006/documentManagement/types"/>
    <ds:schemaRef ds:uri="http://schemas.openxmlformats.org/package/2006/metadata/core-properties"/>
    <ds:schemaRef ds:uri="8ea0a048-5e79-414d-a984-5fa877d5585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Master Excel with XelPlus</vt:lpstr>
      <vt:lpstr>Summary</vt:lpstr>
      <vt:lpstr>United Kingdom</vt:lpstr>
      <vt:lpstr>United States</vt:lpstr>
      <vt:lpstr>Canada</vt:lpstr>
      <vt:lpstr>Germany</vt:lpstr>
      <vt:lpstr>Austria</vt:lpstr>
      <vt:lpstr>France</vt:lpstr>
      <vt:lpstr>India</vt:lpstr>
      <vt:lpstr>China</vt:lpstr>
      <vt:lpstr>Australia</vt:lpstr>
      <vt:lpstr>Instructions for Reporting</vt:lpstr>
      <vt:lpstr>Cost Center Summary</vt:lpstr>
      <vt:lpstr>CC-1000</vt:lpstr>
      <vt:lpstr>CC-1100</vt:lpstr>
      <vt:lpstr>CC-2000</vt:lpstr>
      <vt:lpstr>CC-2100</vt:lpstr>
      <vt:lpstr>CC-3000</vt:lpstr>
      <vt:lpstr>CC-3100</vt:lpstr>
      <vt:lpstr>CC-3200</vt:lpstr>
      <vt:lpstr>CC-3300</vt:lpstr>
      <vt:lpstr>CC-4000</vt:lpstr>
      <vt:lpstr>CC-5000</vt:lpstr>
      <vt:lpstr>UK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</dc:creator>
  <cp:lastModifiedBy>Mic</cp:lastModifiedBy>
  <dcterms:created xsi:type="dcterms:W3CDTF">2025-10-23T13:54:41Z</dcterms:created>
  <dcterms:modified xsi:type="dcterms:W3CDTF">2026-02-26T19:50:57Z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0x010100CF978176D7B6BC41934141C52985821B</vt:lpwstr>
  </property>
  <property fmtid="{D5CDD505-2E9C-101B-9397-08002B2CF9AE}" pid="3" name="MediaServiceImageTags">
    <vt:lpwstr/>
  </property>
</Properties>
</file>